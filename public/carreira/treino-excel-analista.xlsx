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" name="Fornecedores" state="visible" r:id="rId5"/>
    <sheet sheetId="3" name="Notas" state="visible" r:id="rId6"/>
    <sheet sheetId="4" name="Orçamento" state="visible" r:id="rId7"/>
    <sheet sheetId="5" name="Exercícios" state="visible" r:id="rId8"/>
    <sheet sheetId="6" name="Gabarito" state="visible" r:id="rId9"/>
  </sheets>
  <calcPr calcId="171027" fullCalcOnLoad="1"/>
</workbook>
</file>

<file path=xl/sharedStrings.xml><?xml version="1.0" encoding="utf-8"?>
<sst xmlns="http://schemas.openxmlformats.org/spreadsheetml/2006/main" count="314" uniqueCount="80">
  <si>
    <t>Planilha de treino: Analista Administrativo Financeiro Jr</t>
  </si>
  <si>
    <t>Objetivo: simular o teste prático de Excel de um processo seletivo. Tempo sugerido: 40 minutos.</t>
  </si>
  <si>
    <t>Dados fictícios de uma emissora de TV e rádio fictícia. Data-base do teste: 30/04/2026 (aba Exercícios, célula B2).</t>
  </si>
  <si>
    <t>Legenda: células AMARELAS = preencha com fórmula. Texto AZUL = dado de entrada que você pode mudar. A primeira linha de cada tabela já vem resolvida, como exemplo.</t>
  </si>
  <si>
    <t>Tarefas</t>
  </si>
  <si>
    <t>1. Aba Notas: preencha Fornecedor (D), Centro de custo (E) e Vencimento (G) com PROCV na aba Fornecedores. Vencimento = data da nota + prazo.</t>
  </si>
  <si>
    <t>2. Aba Notas: preencha Situação (I) com SE: "Paga"; se não estiver paga e o vencimento for anterior à data-base, "Vencida"; senão, "A vencer".</t>
  </si>
  <si>
    <t>3. Aba Exercícios, item 1: Previsto (PROCV na aba Orçamento, coluna Total), Realizado (SOMASES), variação em R$ e %, e situação.</t>
  </si>
  <si>
    <t>4. Item 2: realizado de março/2026 por centro de custo, com SOMASES e critérios de data (DATA e FIMMÊS).</t>
  </si>
  <si>
    <t>5. Item 3: contagens com CONT.SES e o valor em aberto com SOMASES.</t>
  </si>
  <si>
    <t>6. Item 4: busque uma nota pelo número com PROCV.</t>
  </si>
  <si>
    <t>7. Item 5: crie uma tabela dinâmica (Linhas: Centro de custo; Colunas: Status; Valores: Soma de Valor) e confira o total geral.</t>
  </si>
  <si>
    <t>Dica: no Excel em português, os argumentos são separados por ponto e vírgula. Ex.: =PROCV(C3;Fornecedores!$A$2:$D$9;2;FALSO)</t>
  </si>
  <si>
    <t>Gabarito: aba Gabarito. Só olhe depois de tentar!</t>
  </si>
  <si>
    <t>Código</t>
  </si>
  <si>
    <t>Fornecedor</t>
  </si>
  <si>
    <t>Centro de custo</t>
  </si>
  <si>
    <t>Prazo (dias)</t>
  </si>
  <si>
    <t>F01</t>
  </si>
  <si>
    <t>Alfa Papelaria</t>
  </si>
  <si>
    <t>Administrativo</t>
  </si>
  <si>
    <t>F02</t>
  </si>
  <si>
    <t>Beta Tecnologia</t>
  </si>
  <si>
    <t>TI</t>
  </si>
  <si>
    <t>F03</t>
  </si>
  <si>
    <t>Gama Eventos</t>
  </si>
  <si>
    <t>Marketing</t>
  </si>
  <si>
    <t>F04</t>
  </si>
  <si>
    <t>Delta Limpeza</t>
  </si>
  <si>
    <t>F05</t>
  </si>
  <si>
    <t>Épsilon Transmissões</t>
  </si>
  <si>
    <t>Jornalismo</t>
  </si>
  <si>
    <t>F06</t>
  </si>
  <si>
    <t>Zeta Gráfica</t>
  </si>
  <si>
    <t>Comercial</t>
  </si>
  <si>
    <t>F07</t>
  </si>
  <si>
    <t>Ômega Software</t>
  </si>
  <si>
    <t>F08</t>
  </si>
  <si>
    <t>Sigma Viagens</t>
  </si>
  <si>
    <t>Nota</t>
  </si>
  <si>
    <t>Data</t>
  </si>
  <si>
    <t>Valor</t>
  </si>
  <si>
    <t>Vencimento</t>
  </si>
  <si>
    <t>Status</t>
  </si>
  <si>
    <t>Situação</t>
  </si>
  <si>
    <t>1. Resumo por centro de custo (jan a abr/2026)</t>
  </si>
  <si>
    <t>Paga</t>
  </si>
  <si>
    <t>Aberta</t>
  </si>
  <si>
    <t>Jan/26</t>
  </si>
  <si>
    <t>Fev/26</t>
  </si>
  <si>
    <t>Mar/26</t>
  </si>
  <si>
    <t>Abr/26</t>
  </si>
  <si>
    <t>Total</t>
  </si>
  <si>
    <t>Exercícios: preencha as células amarelas com fórmulas</t>
  </si>
  <si>
    <t>Data-base</t>
  </si>
  <si>
    <t>Os resultados só ficam completos depois de preencher a aba Notas (tarefas 1 e 2).</t>
  </si>
  <si>
    <t>Previsto</t>
  </si>
  <si>
    <t>Realizado</t>
  </si>
  <si>
    <t>Variação (R$)</t>
  </si>
  <si>
    <t>Variação (%)</t>
  </si>
  <si>
    <t>2. Realizado de março/2026 por centro de custo</t>
  </si>
  <si>
    <t>Realizado mar/26</t>
  </si>
  <si>
    <t>3. Contagens</t>
  </si>
  <si>
    <t>Notas em aberto (Status = Aberta)</t>
  </si>
  <si>
    <t>Notas vencidas (Situação = Vencida)</t>
  </si>
  <si>
    <t>% de notas vencidas sobre o total de notas</t>
  </si>
  <si>
    <t>Valor total em aberto</t>
  </si>
  <si>
    <t>4. Busca de nota</t>
  </si>
  <si>
    <t>Número da nota</t>
  </si>
  <si>
    <t>5. Tabela dinâmica</t>
  </si>
  <si>
    <t>Crie numa aba nova: Inserir › Tabela Dinâmica, com a base da aba Notas.</t>
  </si>
  <si>
    <t>Linhas: Centro de custo · Colunas: Status · Valores: Soma de Valor.</t>
  </si>
  <si>
    <t>Confira: o total geral da sua tabela dinâmica deve ser igual ao valor abaixo.</t>
  </si>
  <si>
    <t>Total da base</t>
  </si>
  <si>
    <t>Gabarito: só olhe depois de tentar</t>
  </si>
  <si>
    <t>Notas em aberto</t>
  </si>
  <si>
    <t>Notas vencidas</t>
  </si>
  <si>
    <t>% de notas vencidas</t>
  </si>
  <si>
    <t>5. Tabela dinâmica esperada (Soma de Valor)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</si>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</sst>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R$&quot; #,##0.00"/>
    <numFmt numFmtId="166" formatCode="0.0%"/>
  </numFmts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0"/>
      <name val="Arial"/>
    </font>
    <font>
      <b/>
      <sz val="12"/>
      <name val="Arial"/>
    </font>
    <font>
      <b/>
      <sz val="10"/>
      <name val="Arial"/>
    </font>
    <font>
      <color rgb="FF0000FF"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2" fillId="3" borderId="0" xfId="0" applyFont="1" applyFill="1"/>
    <xf numFmtId="0" fontId="3" fillId="0" borderId="0" xfId="0" applyFont="1"/>
    <xf numFmtId="164" fontId="5" fillId="0" borderId="0" xfId="0" applyNumberFormat="1" applyFont="1"/>
    <xf numFmtId="0" fontId="6" fillId="0" borderId="0" xfId="0" applyFont="1"/>
    <xf numFmtId="166" fontId="2" fillId="0" borderId="0" xfId="0" applyNumberFormat="1" applyFont="1"/>
    <xf numFmtId="0" fontId="5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cols>
    <col min="1" max="1" width="120" style="1" customWidth="1"/>
  </cols>
  <sheetData>
    <row r="1" spans="1:1" x14ac:dyDescent="0.25">
      <c r="A1" s="2" t="s">
        <v>0</v>
      </c>
    </row>
    <row r="2" spans="1:1" x14ac:dyDescent="0.25">
      <c r="A2" s="3" t="s">
        <v>1</v>
      </c>
    </row>
    <row r="3" spans="1:1" x14ac:dyDescent="0.25">
      <c r="A3" s="3" t="s">
        <v>2</v>
      </c>
    </row>
    <row r="4" spans="1:1" x14ac:dyDescent="0.25">
      <c r="A4" s="3" t="s">
        <v>3</v>
      </c>
    </row>
    <row r="6" spans="1:1" x14ac:dyDescent="0.25">
      <c r="A6" s="4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3" t="s">
        <v>8</v>
      </c>
    </row>
    <row r="11" spans="1:1" x14ac:dyDescent="0.25">
      <c r="A11" s="3" t="s">
        <v>9</v>
      </c>
    </row>
    <row r="12" spans="1:1" x14ac:dyDescent="0.25">
      <c r="A12" s="3" t="s">
        <v>10</v>
      </c>
    </row>
    <row r="13" spans="1:1" x14ac:dyDescent="0.25">
      <c r="A13" s="3" t="s">
        <v>11</v>
      </c>
    </row>
    <row r="15" spans="1:1" x14ac:dyDescent="0.25">
      <c r="A15" s="3" t="s">
        <v>12</v>
      </c>
    </row>
    <row r="16" spans="1:1" x14ac:dyDescent="0.25">
      <c r="A16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18" customWidth="1"/>
    <col min="4" max="4" width="13" customWidth="1"/>
  </cols>
  <sheetData>
    <row r="1" spans="1:4" x14ac:dyDescent="0.25">
      <c r="A1" s="5" t="s">
        <v>14</v>
      </c>
      <c r="B1" s="5" t="s">
        <v>15</v>
      </c>
      <c r="C1" s="5" t="s">
        <v>16</v>
      </c>
      <c r="D1" s="5" t="s">
        <v>17</v>
      </c>
    </row>
    <row r="2" spans="1:4" x14ac:dyDescent="0.25">
      <c r="A2" s="6" t="s">
        <v>18</v>
      </c>
      <c r="B2" s="6" t="s">
        <v>19</v>
      </c>
      <c r="C2" s="6" t="s">
        <v>20</v>
      </c>
      <c r="D2" s="6">
        <v>30</v>
      </c>
    </row>
    <row r="3" spans="1:4" x14ac:dyDescent="0.25">
      <c r="A3" s="6" t="s">
        <v>21</v>
      </c>
      <c r="B3" s="6" t="s">
        <v>22</v>
      </c>
      <c r="C3" s="6" t="s">
        <v>23</v>
      </c>
      <c r="D3" s="6">
        <v>45</v>
      </c>
    </row>
    <row r="4" spans="1:4" x14ac:dyDescent="0.25">
      <c r="A4" s="6" t="s">
        <v>24</v>
      </c>
      <c r="B4" s="6" t="s">
        <v>25</v>
      </c>
      <c r="C4" s="6" t="s">
        <v>26</v>
      </c>
      <c r="D4" s="6">
        <v>15</v>
      </c>
    </row>
    <row r="5" spans="1:4" x14ac:dyDescent="0.25">
      <c r="A5" s="6" t="s">
        <v>27</v>
      </c>
      <c r="B5" s="6" t="s">
        <v>28</v>
      </c>
      <c r="C5" s="6" t="s">
        <v>20</v>
      </c>
      <c r="D5" s="6">
        <v>30</v>
      </c>
    </row>
    <row r="6" spans="1:4" x14ac:dyDescent="0.25">
      <c r="A6" s="6" t="s">
        <v>29</v>
      </c>
      <c r="B6" s="6" t="s">
        <v>30</v>
      </c>
      <c r="C6" s="6" t="s">
        <v>31</v>
      </c>
      <c r="D6" s="6">
        <v>30</v>
      </c>
    </row>
    <row r="7" spans="1:4" x14ac:dyDescent="0.25">
      <c r="A7" s="6" t="s">
        <v>32</v>
      </c>
      <c r="B7" s="6" t="s">
        <v>33</v>
      </c>
      <c r="C7" s="6" t="s">
        <v>34</v>
      </c>
      <c r="D7" s="6">
        <v>20</v>
      </c>
    </row>
    <row r="8" spans="1:4" x14ac:dyDescent="0.25">
      <c r="A8" s="6" t="s">
        <v>35</v>
      </c>
      <c r="B8" s="6" t="s">
        <v>36</v>
      </c>
      <c r="C8" s="6" t="s">
        <v>23</v>
      </c>
      <c r="D8" s="6">
        <v>30</v>
      </c>
    </row>
    <row r="9" spans="1:4" x14ac:dyDescent="0.25">
      <c r="A9" s="6" t="s">
        <v>37</v>
      </c>
      <c r="B9" s="6" t="s">
        <v>38</v>
      </c>
      <c r="C9" s="6" t="s">
        <v>31</v>
      </c>
      <c r="D9" s="6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2" customWidth="1"/>
    <col min="4" max="4" width="24" customWidth="1"/>
    <col min="5" max="5" width="18" customWidth="1"/>
    <col min="6" max="6" width="14" customWidth="1"/>
    <col min="7" max="7" width="13" customWidth="1"/>
    <col min="8" max="8" width="10" customWidth="1"/>
    <col min="9" max="9" width="12" customWidth="1"/>
  </cols>
  <sheetData>
    <row r="1" spans="1:11" x14ac:dyDescent="0.25">
      <c r="A1" s="5" t="s">
        <v>39</v>
      </c>
      <c r="B1" s="5" t="s">
        <v>40</v>
      </c>
      <c r="C1" s="5" t="s">
        <v>14</v>
      </c>
      <c r="D1" s="5" t="s">
        <v>15</v>
      </c>
      <c r="E1" s="5" t="s">
        <v>16</v>
      </c>
      <c r="F1" s="5" t="s">
        <v>41</v>
      </c>
      <c r="G1" s="5" t="s">
        <v>42</v>
      </c>
      <c r="H1" s="5" t="s">
        <v>43</v>
      </c>
      <c r="I1" s="5" t="s">
        <v>44</v>
      </c>
      <c r="K1" s="5" t="s">
        <v>45</v>
      </c>
    </row>
    <row r="2" spans="1:9" x14ac:dyDescent="0.25">
      <c r="A2" s="6">
        <v>1001</v>
      </c>
      <c r="B2" s="7">
        <v>46027</v>
      </c>
      <c r="C2" s="6" t="s">
        <v>21</v>
      </c>
      <c r="D2" s="6" t="str">
        <f>VLOOKUP(C2,'Fornecedores'!$A$2:$D$9,2,FALSE)</f>
        <v>Beta Tecnologia</v>
      </c>
      <c r="E2" s="6" t="str">
        <f>VLOOKUP(C2,'Fornecedores'!$A$2:$D$9,3,FALSE)</f>
        <v>TI</v>
      </c>
      <c r="F2" s="8">
        <v>2750</v>
      </c>
      <c r="G2" s="7">
        <f>B2+VLOOKUP(C2,'Fornecedores'!$A$2:$D$9,4,FALSE)</f>
        <v>46072</v>
      </c>
      <c r="H2" s="6" t="s">
        <v>46</v>
      </c>
      <c r="I2" s="6" t="str">
        <f>IF(H2="Paga","Paga",IF(G2&lt;'Exercícios'!$B$2,"Vencida","A vencer"))</f>
        <v>Paga</v>
      </c>
    </row>
    <row r="3" spans="1:9" x14ac:dyDescent="0.25">
      <c r="A3" s="6">
        <v>1002</v>
      </c>
      <c r="B3" s="7">
        <v>46030</v>
      </c>
      <c r="C3" s="6" t="s">
        <v>29</v>
      </c>
      <c r="D3" s="9"/>
      <c r="E3" s="9"/>
      <c r="F3" s="8">
        <v>5820</v>
      </c>
      <c r="G3" s="9"/>
      <c r="H3" s="6" t="s">
        <v>46</v>
      </c>
      <c r="I3" s="9"/>
    </row>
    <row r="4" spans="1:9" x14ac:dyDescent="0.25">
      <c r="A4" s="6">
        <v>1003</v>
      </c>
      <c r="B4" s="7">
        <v>46033</v>
      </c>
      <c r="C4" s="6" t="s">
        <v>37</v>
      </c>
      <c r="D4" s="9"/>
      <c r="E4" s="9"/>
      <c r="F4" s="8">
        <v>1290</v>
      </c>
      <c r="G4" s="9"/>
      <c r="H4" s="6" t="s">
        <v>46</v>
      </c>
      <c r="I4" s="9"/>
    </row>
    <row r="5" spans="1:9" x14ac:dyDescent="0.25">
      <c r="A5" s="6">
        <v>1004</v>
      </c>
      <c r="B5" s="7">
        <v>46036</v>
      </c>
      <c r="C5" s="6" t="s">
        <v>24</v>
      </c>
      <c r="D5" s="9"/>
      <c r="E5" s="9"/>
      <c r="F5" s="8">
        <v>3630</v>
      </c>
      <c r="G5" s="9"/>
      <c r="H5" s="6" t="s">
        <v>47</v>
      </c>
      <c r="I5" s="9"/>
    </row>
    <row r="6" spans="1:9" x14ac:dyDescent="0.25">
      <c r="A6" s="6">
        <v>1005</v>
      </c>
      <c r="B6" s="7">
        <v>46039</v>
      </c>
      <c r="C6" s="6" t="s">
        <v>32</v>
      </c>
      <c r="D6" s="9"/>
      <c r="E6" s="9"/>
      <c r="F6" s="8">
        <v>1860</v>
      </c>
      <c r="G6" s="9"/>
      <c r="H6" s="6" t="s">
        <v>46</v>
      </c>
      <c r="I6" s="9"/>
    </row>
    <row r="7" spans="1:9" x14ac:dyDescent="0.25">
      <c r="A7" s="6">
        <v>1006</v>
      </c>
      <c r="B7" s="7">
        <v>46041</v>
      </c>
      <c r="C7" s="6" t="s">
        <v>18</v>
      </c>
      <c r="D7" s="9"/>
      <c r="E7" s="9"/>
      <c r="F7" s="8">
        <v>1220</v>
      </c>
      <c r="G7" s="9"/>
      <c r="H7" s="6" t="s">
        <v>46</v>
      </c>
      <c r="I7" s="9"/>
    </row>
    <row r="8" spans="1:9" x14ac:dyDescent="0.25">
      <c r="A8" s="6">
        <v>1007</v>
      </c>
      <c r="B8" s="7">
        <v>46044</v>
      </c>
      <c r="C8" s="6" t="s">
        <v>27</v>
      </c>
      <c r="D8" s="9"/>
      <c r="E8" s="9"/>
      <c r="F8" s="8">
        <v>840</v>
      </c>
      <c r="G8" s="9"/>
      <c r="H8" s="6" t="s">
        <v>46</v>
      </c>
      <c r="I8" s="9"/>
    </row>
    <row r="9" spans="1:9" x14ac:dyDescent="0.25">
      <c r="A9" s="6">
        <v>1008</v>
      </c>
      <c r="B9" s="7">
        <v>46047</v>
      </c>
      <c r="C9" s="6" t="s">
        <v>35</v>
      </c>
      <c r="D9" s="9"/>
      <c r="E9" s="9"/>
      <c r="F9" s="8">
        <v>2570</v>
      </c>
      <c r="G9" s="9"/>
      <c r="H9" s="6" t="s">
        <v>46</v>
      </c>
      <c r="I9" s="9"/>
    </row>
    <row r="10" spans="1:9" x14ac:dyDescent="0.25">
      <c r="A10" s="6">
        <v>1009</v>
      </c>
      <c r="B10" s="7">
        <v>46050</v>
      </c>
      <c r="C10" s="6" t="s">
        <v>21</v>
      </c>
      <c r="D10" s="9"/>
      <c r="E10" s="9"/>
      <c r="F10" s="8">
        <v>3620</v>
      </c>
      <c r="G10" s="9"/>
      <c r="H10" s="6" t="s">
        <v>46</v>
      </c>
      <c r="I10" s="9"/>
    </row>
    <row r="11" spans="1:9" x14ac:dyDescent="0.25">
      <c r="A11" s="6">
        <v>1010</v>
      </c>
      <c r="B11" s="7">
        <v>46053</v>
      </c>
      <c r="C11" s="6" t="s">
        <v>29</v>
      </c>
      <c r="D11" s="9"/>
      <c r="E11" s="9"/>
      <c r="F11" s="8">
        <v>3620</v>
      </c>
      <c r="G11" s="9"/>
      <c r="H11" s="6" t="s">
        <v>46</v>
      </c>
      <c r="I11" s="9"/>
    </row>
    <row r="12" spans="1:9" x14ac:dyDescent="0.25">
      <c r="A12" s="6">
        <v>1011</v>
      </c>
      <c r="B12" s="7">
        <v>46056</v>
      </c>
      <c r="C12" s="6" t="s">
        <v>37</v>
      </c>
      <c r="D12" s="9"/>
      <c r="E12" s="9"/>
      <c r="F12" s="8">
        <v>5170</v>
      </c>
      <c r="G12" s="9"/>
      <c r="H12" s="6" t="s">
        <v>47</v>
      </c>
      <c r="I12" s="9"/>
    </row>
    <row r="13" spans="1:9" x14ac:dyDescent="0.25">
      <c r="A13" s="6">
        <v>1012</v>
      </c>
      <c r="B13" s="7">
        <v>46059</v>
      </c>
      <c r="C13" s="6" t="s">
        <v>24</v>
      </c>
      <c r="D13" s="9"/>
      <c r="E13" s="9"/>
      <c r="F13" s="8">
        <v>4800</v>
      </c>
      <c r="G13" s="9"/>
      <c r="H13" s="6" t="s">
        <v>46</v>
      </c>
      <c r="I13" s="9"/>
    </row>
    <row r="14" spans="1:9" x14ac:dyDescent="0.25">
      <c r="A14" s="6">
        <v>1013</v>
      </c>
      <c r="B14" s="7">
        <v>46062</v>
      </c>
      <c r="C14" s="6" t="s">
        <v>32</v>
      </c>
      <c r="D14" s="9"/>
      <c r="E14" s="9"/>
      <c r="F14" s="8">
        <v>900</v>
      </c>
      <c r="G14" s="9"/>
      <c r="H14" s="6" t="s">
        <v>46</v>
      </c>
      <c r="I14" s="9"/>
    </row>
    <row r="15" spans="1:9" x14ac:dyDescent="0.25">
      <c r="A15" s="6">
        <v>1014</v>
      </c>
      <c r="B15" s="7">
        <v>46065</v>
      </c>
      <c r="C15" s="6" t="s">
        <v>18</v>
      </c>
      <c r="D15" s="9"/>
      <c r="E15" s="9"/>
      <c r="F15" s="8">
        <v>830</v>
      </c>
      <c r="G15" s="9"/>
      <c r="H15" s="6" t="s">
        <v>46</v>
      </c>
      <c r="I15" s="9"/>
    </row>
    <row r="16" spans="1:9" x14ac:dyDescent="0.25">
      <c r="A16" s="6">
        <v>1015</v>
      </c>
      <c r="B16" s="7">
        <v>46068</v>
      </c>
      <c r="C16" s="6" t="s">
        <v>27</v>
      </c>
      <c r="D16" s="9"/>
      <c r="E16" s="9"/>
      <c r="F16" s="8">
        <v>1130</v>
      </c>
      <c r="G16" s="9"/>
      <c r="H16" s="6" t="s">
        <v>46</v>
      </c>
      <c r="I16" s="9"/>
    </row>
    <row r="17" spans="1:9" x14ac:dyDescent="0.25">
      <c r="A17" s="6">
        <v>1016</v>
      </c>
      <c r="B17" s="7">
        <v>46070</v>
      </c>
      <c r="C17" s="6" t="s">
        <v>35</v>
      </c>
      <c r="D17" s="9"/>
      <c r="E17" s="9"/>
      <c r="F17" s="8">
        <v>4360</v>
      </c>
      <c r="G17" s="9"/>
      <c r="H17" s="6" t="s">
        <v>46</v>
      </c>
      <c r="I17" s="9"/>
    </row>
    <row r="18" spans="1:9" x14ac:dyDescent="0.25">
      <c r="A18" s="6">
        <v>1017</v>
      </c>
      <c r="B18" s="7">
        <v>46073</v>
      </c>
      <c r="C18" s="6" t="s">
        <v>21</v>
      </c>
      <c r="D18" s="9"/>
      <c r="E18" s="9"/>
      <c r="F18" s="8">
        <v>5310</v>
      </c>
      <c r="G18" s="9"/>
      <c r="H18" s="6" t="s">
        <v>46</v>
      </c>
      <c r="I18" s="9"/>
    </row>
    <row r="19" spans="1:9" x14ac:dyDescent="0.25">
      <c r="A19" s="6">
        <v>1018</v>
      </c>
      <c r="B19" s="7">
        <v>46076</v>
      </c>
      <c r="C19" s="6" t="s">
        <v>29</v>
      </c>
      <c r="D19" s="9"/>
      <c r="E19" s="9"/>
      <c r="F19" s="8">
        <v>6750</v>
      </c>
      <c r="G19" s="9"/>
      <c r="H19" s="6" t="s">
        <v>47</v>
      </c>
      <c r="I19" s="9"/>
    </row>
    <row r="20" spans="1:9" x14ac:dyDescent="0.25">
      <c r="A20" s="6">
        <v>1019</v>
      </c>
      <c r="B20" s="7">
        <v>46079</v>
      </c>
      <c r="C20" s="6" t="s">
        <v>37</v>
      </c>
      <c r="D20" s="9"/>
      <c r="E20" s="9"/>
      <c r="F20" s="8">
        <v>4380</v>
      </c>
      <c r="G20" s="9"/>
      <c r="H20" s="6" t="s">
        <v>46</v>
      </c>
      <c r="I20" s="9"/>
    </row>
    <row r="21" spans="1:9" x14ac:dyDescent="0.25">
      <c r="A21" s="6">
        <v>1020</v>
      </c>
      <c r="B21" s="7">
        <v>46082</v>
      </c>
      <c r="C21" s="6" t="s">
        <v>24</v>
      </c>
      <c r="D21" s="9"/>
      <c r="E21" s="9"/>
      <c r="F21" s="8">
        <v>4780</v>
      </c>
      <c r="G21" s="9"/>
      <c r="H21" s="6" t="s">
        <v>46</v>
      </c>
      <c r="I21" s="9"/>
    </row>
    <row r="22" spans="1:9" x14ac:dyDescent="0.25">
      <c r="A22" s="6">
        <v>1021</v>
      </c>
      <c r="B22" s="7">
        <v>46085</v>
      </c>
      <c r="C22" s="6" t="s">
        <v>32</v>
      </c>
      <c r="D22" s="9"/>
      <c r="E22" s="9"/>
      <c r="F22" s="8">
        <v>2030</v>
      </c>
      <c r="G22" s="9"/>
      <c r="H22" s="6" t="s">
        <v>46</v>
      </c>
      <c r="I22" s="9"/>
    </row>
    <row r="23" spans="1:9" x14ac:dyDescent="0.25">
      <c r="A23" s="6">
        <v>1022</v>
      </c>
      <c r="B23" s="7">
        <v>46088</v>
      </c>
      <c r="C23" s="6" t="s">
        <v>18</v>
      </c>
      <c r="D23" s="9"/>
      <c r="E23" s="9"/>
      <c r="F23" s="8">
        <v>480</v>
      </c>
      <c r="G23" s="9"/>
      <c r="H23" s="6" t="s">
        <v>46</v>
      </c>
      <c r="I23" s="9"/>
    </row>
    <row r="24" spans="1:9" x14ac:dyDescent="0.25">
      <c r="A24" s="6">
        <v>1023</v>
      </c>
      <c r="B24" s="7">
        <v>46091</v>
      </c>
      <c r="C24" s="6" t="s">
        <v>27</v>
      </c>
      <c r="D24" s="9"/>
      <c r="E24" s="9"/>
      <c r="F24" s="8">
        <v>920</v>
      </c>
      <c r="G24" s="9"/>
      <c r="H24" s="6" t="s">
        <v>46</v>
      </c>
      <c r="I24" s="9"/>
    </row>
    <row r="25" spans="1:9" x14ac:dyDescent="0.25">
      <c r="A25" s="6">
        <v>1024</v>
      </c>
      <c r="B25" s="7">
        <v>46094</v>
      </c>
      <c r="C25" s="6" t="s">
        <v>35</v>
      </c>
      <c r="D25" s="9"/>
      <c r="E25" s="9"/>
      <c r="F25" s="8">
        <v>2270</v>
      </c>
      <c r="G25" s="9"/>
      <c r="H25" s="6" t="s">
        <v>46</v>
      </c>
      <c r="I25" s="9"/>
    </row>
    <row r="26" spans="1:9" x14ac:dyDescent="0.25">
      <c r="A26" s="6">
        <v>1025</v>
      </c>
      <c r="B26" s="7">
        <v>46097</v>
      </c>
      <c r="C26" s="6" t="s">
        <v>21</v>
      </c>
      <c r="D26" s="9"/>
      <c r="E26" s="9"/>
      <c r="F26" s="8">
        <v>4020</v>
      </c>
      <c r="G26" s="9"/>
      <c r="H26" s="6" t="s">
        <v>47</v>
      </c>
      <c r="I26" s="9"/>
    </row>
    <row r="27" spans="1:9" x14ac:dyDescent="0.25">
      <c r="A27" s="6">
        <v>1026</v>
      </c>
      <c r="B27" s="7">
        <v>46099</v>
      </c>
      <c r="C27" s="6" t="s">
        <v>29</v>
      </c>
      <c r="D27" s="9"/>
      <c r="E27" s="9"/>
      <c r="F27" s="8">
        <v>6920</v>
      </c>
      <c r="G27" s="9"/>
      <c r="H27" s="6" t="s">
        <v>46</v>
      </c>
      <c r="I27" s="9"/>
    </row>
    <row r="28" spans="1:9" x14ac:dyDescent="0.25">
      <c r="A28" s="6">
        <v>1027</v>
      </c>
      <c r="B28" s="7">
        <v>46102</v>
      </c>
      <c r="C28" s="6" t="s">
        <v>37</v>
      </c>
      <c r="D28" s="9"/>
      <c r="E28" s="9"/>
      <c r="F28" s="8">
        <v>6360</v>
      </c>
      <c r="G28" s="9"/>
      <c r="H28" s="6" t="s">
        <v>46</v>
      </c>
      <c r="I28" s="9"/>
    </row>
    <row r="29" spans="1:9" x14ac:dyDescent="0.25">
      <c r="A29" s="6">
        <v>1028</v>
      </c>
      <c r="B29" s="7">
        <v>46105</v>
      </c>
      <c r="C29" s="6" t="s">
        <v>24</v>
      </c>
      <c r="D29" s="9"/>
      <c r="E29" s="9"/>
      <c r="F29" s="8">
        <v>4660</v>
      </c>
      <c r="G29" s="9"/>
      <c r="H29" s="6" t="s">
        <v>46</v>
      </c>
      <c r="I29" s="9"/>
    </row>
    <row r="30" spans="1:9" x14ac:dyDescent="0.25">
      <c r="A30" s="6">
        <v>1029</v>
      </c>
      <c r="B30" s="7">
        <v>46108</v>
      </c>
      <c r="C30" s="6" t="s">
        <v>32</v>
      </c>
      <c r="D30" s="9"/>
      <c r="E30" s="9"/>
      <c r="F30" s="8">
        <v>570</v>
      </c>
      <c r="G30" s="9"/>
      <c r="H30" s="6" t="s">
        <v>46</v>
      </c>
      <c r="I30" s="9"/>
    </row>
    <row r="31" spans="1:9" x14ac:dyDescent="0.25">
      <c r="A31" s="6">
        <v>1030</v>
      </c>
      <c r="B31" s="7">
        <v>46111</v>
      </c>
      <c r="C31" s="6" t="s">
        <v>18</v>
      </c>
      <c r="D31" s="9"/>
      <c r="E31" s="9"/>
      <c r="F31" s="8">
        <v>1420</v>
      </c>
      <c r="G31" s="9"/>
      <c r="H31" s="6" t="s">
        <v>46</v>
      </c>
      <c r="I31" s="9"/>
    </row>
    <row r="32" spans="1:9" x14ac:dyDescent="0.25">
      <c r="A32" s="6">
        <v>1031</v>
      </c>
      <c r="B32" s="7">
        <v>46114</v>
      </c>
      <c r="C32" s="6" t="s">
        <v>27</v>
      </c>
      <c r="D32" s="9"/>
      <c r="E32" s="9"/>
      <c r="F32" s="8">
        <v>740</v>
      </c>
      <c r="G32" s="9"/>
      <c r="H32" s="6" t="s">
        <v>47</v>
      </c>
      <c r="I32" s="9"/>
    </row>
    <row r="33" spans="1:9" x14ac:dyDescent="0.25">
      <c r="A33" s="6">
        <v>1032</v>
      </c>
      <c r="B33" s="7">
        <v>46117</v>
      </c>
      <c r="C33" s="6" t="s">
        <v>35</v>
      </c>
      <c r="D33" s="9"/>
      <c r="E33" s="9"/>
      <c r="F33" s="8">
        <v>4880</v>
      </c>
      <c r="G33" s="9"/>
      <c r="H33" s="6" t="s">
        <v>47</v>
      </c>
      <c r="I33" s="9"/>
    </row>
    <row r="34" spans="1:9" x14ac:dyDescent="0.25">
      <c r="A34" s="6">
        <v>1033</v>
      </c>
      <c r="B34" s="7">
        <v>46120</v>
      </c>
      <c r="C34" s="6" t="s">
        <v>21</v>
      </c>
      <c r="D34" s="9"/>
      <c r="E34" s="9"/>
      <c r="F34" s="8">
        <v>5480</v>
      </c>
      <c r="G34" s="9"/>
      <c r="H34" s="6" t="s">
        <v>47</v>
      </c>
      <c r="I34" s="9"/>
    </row>
    <row r="35" spans="1:9" x14ac:dyDescent="0.25">
      <c r="A35" s="6">
        <v>1034</v>
      </c>
      <c r="B35" s="7">
        <v>46123</v>
      </c>
      <c r="C35" s="6" t="s">
        <v>29</v>
      </c>
      <c r="D35" s="9"/>
      <c r="E35" s="9"/>
      <c r="F35" s="8">
        <v>6010</v>
      </c>
      <c r="G35" s="9"/>
      <c r="H35" s="6" t="s">
        <v>47</v>
      </c>
      <c r="I35" s="9"/>
    </row>
    <row r="36" spans="1:9" x14ac:dyDescent="0.25">
      <c r="A36" s="6">
        <v>1035</v>
      </c>
      <c r="B36" s="7">
        <v>46126</v>
      </c>
      <c r="C36" s="6" t="s">
        <v>37</v>
      </c>
      <c r="D36" s="9"/>
      <c r="E36" s="9"/>
      <c r="F36" s="8">
        <v>5830</v>
      </c>
      <c r="G36" s="9"/>
      <c r="H36" s="6" t="s">
        <v>46</v>
      </c>
      <c r="I36" s="9"/>
    </row>
    <row r="37" spans="1:9" x14ac:dyDescent="0.25">
      <c r="A37" s="6">
        <v>1036</v>
      </c>
      <c r="B37" s="7">
        <v>46128</v>
      </c>
      <c r="C37" s="6" t="s">
        <v>24</v>
      </c>
      <c r="D37" s="9"/>
      <c r="E37" s="9"/>
      <c r="F37" s="8">
        <v>3460</v>
      </c>
      <c r="G37" s="9"/>
      <c r="H37" s="6" t="s">
        <v>47</v>
      </c>
      <c r="I37" s="9"/>
    </row>
    <row r="38" spans="1:9" x14ac:dyDescent="0.25">
      <c r="A38" s="6">
        <v>1037</v>
      </c>
      <c r="B38" s="7">
        <v>46131</v>
      </c>
      <c r="C38" s="6" t="s">
        <v>32</v>
      </c>
      <c r="D38" s="9"/>
      <c r="E38" s="9"/>
      <c r="F38" s="8">
        <v>1440</v>
      </c>
      <c r="G38" s="9"/>
      <c r="H38" s="6" t="s">
        <v>47</v>
      </c>
      <c r="I38" s="9"/>
    </row>
    <row r="39" spans="1:9" x14ac:dyDescent="0.25">
      <c r="A39" s="6">
        <v>1038</v>
      </c>
      <c r="B39" s="7">
        <v>46134</v>
      </c>
      <c r="C39" s="6" t="s">
        <v>18</v>
      </c>
      <c r="D39" s="9"/>
      <c r="E39" s="9"/>
      <c r="F39" s="8">
        <v>1390</v>
      </c>
      <c r="G39" s="9"/>
      <c r="H39" s="6" t="s">
        <v>47</v>
      </c>
      <c r="I39" s="9"/>
    </row>
    <row r="40" spans="1:9" x14ac:dyDescent="0.25">
      <c r="A40" s="6">
        <v>1039</v>
      </c>
      <c r="B40" s="7">
        <v>46137</v>
      </c>
      <c r="C40" s="6" t="s">
        <v>27</v>
      </c>
      <c r="D40" s="9"/>
      <c r="E40" s="9"/>
      <c r="F40" s="8">
        <v>720</v>
      </c>
      <c r="G40" s="9"/>
      <c r="H40" s="6" t="s">
        <v>47</v>
      </c>
      <c r="I40" s="9"/>
    </row>
    <row r="41" spans="1:9" x14ac:dyDescent="0.25">
      <c r="A41" s="6">
        <v>1040</v>
      </c>
      <c r="B41" s="7">
        <v>46140</v>
      </c>
      <c r="C41" s="6" t="s">
        <v>35</v>
      </c>
      <c r="D41" s="9"/>
      <c r="E41" s="9"/>
      <c r="F41" s="8">
        <v>5750</v>
      </c>
      <c r="G41" s="9"/>
      <c r="H41" s="6" t="s">
        <v>47</v>
      </c>
      <c r="I41" s="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5" width="13" customWidth="1"/>
    <col min="6" max="6" width="14" customWidth="1"/>
  </cols>
  <sheetData>
    <row r="1" spans="1:6" x14ac:dyDescent="0.25">
      <c r="A1" s="5" t="s">
        <v>16</v>
      </c>
      <c r="B1" s="5" t="s">
        <v>48</v>
      </c>
      <c r="C1" s="5" t="s">
        <v>49</v>
      </c>
      <c r="D1" s="5" t="s">
        <v>50</v>
      </c>
      <c r="E1" s="5" t="s">
        <v>51</v>
      </c>
      <c r="F1" s="5" t="s">
        <v>52</v>
      </c>
    </row>
    <row r="2" spans="1:6" x14ac:dyDescent="0.25">
      <c r="A2" s="6" t="s">
        <v>20</v>
      </c>
      <c r="B2" s="8">
        <v>2300</v>
      </c>
      <c r="C2" s="8">
        <v>2200</v>
      </c>
      <c r="D2" s="8">
        <v>3100</v>
      </c>
      <c r="E2" s="8">
        <v>3100</v>
      </c>
      <c r="F2" s="8">
        <f>SUM(B2:E2)</f>
        <v>10700</v>
      </c>
    </row>
    <row r="3" spans="1:6" x14ac:dyDescent="0.25">
      <c r="A3" s="6" t="s">
        <v>34</v>
      </c>
      <c r="B3" s="8">
        <v>1700</v>
      </c>
      <c r="C3" s="8">
        <v>800</v>
      </c>
      <c r="D3" s="8">
        <v>2300</v>
      </c>
      <c r="E3" s="8">
        <v>1300</v>
      </c>
      <c r="F3" s="8">
        <f>SUM(B3:E3)</f>
        <v>6100</v>
      </c>
    </row>
    <row r="4" spans="1:6" x14ac:dyDescent="0.25">
      <c r="A4" s="6" t="s">
        <v>31</v>
      </c>
      <c r="B4" s="8">
        <v>11300</v>
      </c>
      <c r="C4" s="8">
        <v>17100</v>
      </c>
      <c r="D4" s="8">
        <v>13900</v>
      </c>
      <c r="E4" s="8">
        <v>12400</v>
      </c>
      <c r="F4" s="8">
        <f>SUM(B4:E4)</f>
        <v>54700</v>
      </c>
    </row>
    <row r="5" spans="1:6" x14ac:dyDescent="0.25">
      <c r="A5" s="6" t="s">
        <v>26</v>
      </c>
      <c r="B5" s="8">
        <v>2900</v>
      </c>
      <c r="C5" s="8">
        <v>3800</v>
      </c>
      <c r="D5" s="8">
        <v>7600</v>
      </c>
      <c r="E5" s="8">
        <v>2800</v>
      </c>
      <c r="F5" s="8">
        <f>SUM(B5:E5)</f>
        <v>17100</v>
      </c>
    </row>
    <row r="6" spans="1:6" x14ac:dyDescent="0.25">
      <c r="A6" s="6" t="s">
        <v>23</v>
      </c>
      <c r="B6" s="8">
        <v>8900</v>
      </c>
      <c r="C6" s="8">
        <v>9700</v>
      </c>
      <c r="D6" s="8">
        <v>6300</v>
      </c>
      <c r="E6" s="8">
        <v>16100</v>
      </c>
      <c r="F6" s="8">
        <f>SUM(B6:E6)</f>
        <v>41000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FormatPr defaultRowHeight="15" outlineLevelRow="0" outlineLevelCol="0" x14ac:dyDescent="55"/>
  <cols>
    <col min="1" max="1" width="46" customWidth="1"/>
    <col min="2" max="2" width="18" customWidth="1"/>
    <col min="3" max="4" width="16" customWidth="1"/>
    <col min="5" max="5" width="14" customWidth="1"/>
    <col min="6" max="6" width="20" customWidth="1"/>
  </cols>
  <sheetData>
    <row r="1" spans="1:1" x14ac:dyDescent="0.25">
      <c r="A1" s="10" t="s">
        <v>53</v>
      </c>
    </row>
    <row r="2" spans="1:2" x14ac:dyDescent="0.25">
      <c r="A2" s="6" t="s">
        <v>54</v>
      </c>
      <c r="B2" s="11">
        <v>46142</v>
      </c>
    </row>
    <row r="3" spans="1:1" x14ac:dyDescent="0.25">
      <c r="A3" s="12" t="s">
        <v>55</v>
      </c>
    </row>
    <row r="5" spans="1:1" x14ac:dyDescent="0.25">
      <c r="A5" s="10" t="s">
        <v>45</v>
      </c>
    </row>
    <row r="6" spans="1:6" x14ac:dyDescent="0.25">
      <c r="A6" s="5" t="s">
        <v>16</v>
      </c>
      <c r="B6" s="5" t="s">
        <v>56</v>
      </c>
      <c r="C6" s="5" t="s">
        <v>57</v>
      </c>
      <c r="D6" s="5" t="s">
        <v>58</v>
      </c>
      <c r="E6" s="5" t="s">
        <v>59</v>
      </c>
      <c r="F6" s="5" t="s">
        <v>44</v>
      </c>
    </row>
    <row r="7" spans="1:6" x14ac:dyDescent="0.25">
      <c r="A7" s="6" t="s">
        <v>20</v>
      </c>
      <c r="B7" s="8">
        <f>VLOOKUP(A7,'Orçamento'!$A$2:$F$6,6,FALSE)</f>
        <v>10700</v>
      </c>
      <c r="C7" s="8">
        <f>SUMIFS('Notas'!$F$2:$F$41,'Notas'!$E$2:$E$41,A7)</f>
        <v>0</v>
      </c>
      <c r="D7" s="8">
        <f>C7-B7</f>
        <v>-10700</v>
      </c>
      <c r="E7" s="13">
        <f>IF(B7=0,0,D7/B7)</f>
        <v>-1</v>
      </c>
      <c r="F7" s="6" t="str">
        <f>IF(D7&gt;0,"Acima do previsto","Dentro do previsto")</f>
        <v>Dentro do previsto</v>
      </c>
    </row>
    <row r="8" spans="1:6" x14ac:dyDescent="0.25">
      <c r="A8" s="6" t="s">
        <v>34</v>
      </c>
      <c r="B8" s="9"/>
      <c r="C8" s="9"/>
      <c r="D8" s="9"/>
      <c r="E8" s="9"/>
      <c r="F8" s="9"/>
    </row>
    <row r="9" spans="1:6" x14ac:dyDescent="0.25">
      <c r="A9" s="6" t="s">
        <v>31</v>
      </c>
      <c r="B9" s="9"/>
      <c r="C9" s="9"/>
      <c r="D9" s="9"/>
      <c r="E9" s="9"/>
      <c r="F9" s="9"/>
    </row>
    <row r="10" spans="1:6" x14ac:dyDescent="0.25">
      <c r="A10" s="6" t="s">
        <v>26</v>
      </c>
      <c r="B10" s="9"/>
      <c r="C10" s="9"/>
      <c r="D10" s="9"/>
      <c r="E10" s="9"/>
      <c r="F10" s="9"/>
    </row>
    <row r="11" spans="1:6" x14ac:dyDescent="0.25">
      <c r="A11" s="6" t="s">
        <v>23</v>
      </c>
      <c r="B11" s="9"/>
      <c r="C11" s="9"/>
      <c r="D11" s="9"/>
      <c r="E11" s="9"/>
      <c r="F11" s="9"/>
    </row>
    <row r="12" spans="1:5" x14ac:dyDescent="0.25">
      <c r="A12" s="6" t="s">
        <v>52</v>
      </c>
      <c r="B12" s="9"/>
      <c r="C12" s="9"/>
      <c r="D12" s="9"/>
      <c r="E12" s="9"/>
    </row>
    <row r="14" spans="1:1" x14ac:dyDescent="0.25">
      <c r="A14" s="10" t="s">
        <v>60</v>
      </c>
    </row>
    <row r="15" spans="1:2" x14ac:dyDescent="0.25">
      <c r="A15" s="5" t="s">
        <v>16</v>
      </c>
      <c r="B15" s="5" t="s">
        <v>61</v>
      </c>
    </row>
    <row r="16" spans="1:2" x14ac:dyDescent="0.25">
      <c r="A16" s="6" t="s">
        <v>20</v>
      </c>
      <c r="B16" s="8">
        <f>SUMIFS('Notas'!$F$2:$F$41,'Notas'!$E$2:$E$41,A16,'Notas'!$B$2:$B$41,"&gt;="&amp;DATE(2026,3,1),'Notas'!$B$2:$B$41,"&lt;="&amp;EOMONTH(DATE(2026,3,1),0))</f>
        <v>0</v>
      </c>
    </row>
    <row r="17" spans="1:2" x14ac:dyDescent="0.25">
      <c r="A17" s="6" t="s">
        <v>34</v>
      </c>
      <c r="B17" s="9"/>
    </row>
    <row r="18" spans="1:2" x14ac:dyDescent="0.25">
      <c r="A18" s="6" t="s">
        <v>31</v>
      </c>
      <c r="B18" s="9"/>
    </row>
    <row r="19" spans="1:2" x14ac:dyDescent="0.25">
      <c r="A19" s="6" t="s">
        <v>26</v>
      </c>
      <c r="B19" s="9"/>
    </row>
    <row r="20" spans="1:2" x14ac:dyDescent="0.25">
      <c r="A20" s="6" t="s">
        <v>23</v>
      </c>
      <c r="B20" s="9"/>
    </row>
    <row r="22" spans="1:1" x14ac:dyDescent="0.25">
      <c r="A22" s="10" t="s">
        <v>62</v>
      </c>
    </row>
    <row r="23" spans="1:2" x14ac:dyDescent="0.25">
      <c r="A23" s="6" t="s">
        <v>63</v>
      </c>
      <c r="B23" s="9"/>
    </row>
    <row r="24" spans="1:2" x14ac:dyDescent="0.25">
      <c r="A24" s="6" t="s">
        <v>64</v>
      </c>
      <c r="B24" s="9"/>
    </row>
    <row r="25" spans="1:2" x14ac:dyDescent="0.25">
      <c r="A25" s="6" t="s">
        <v>65</v>
      </c>
      <c r="B25" s="9"/>
    </row>
    <row r="26" spans="1:2" x14ac:dyDescent="0.25">
      <c r="A26" s="6" t="s">
        <v>66</v>
      </c>
      <c r="B26" s="9"/>
    </row>
    <row r="28" spans="1:1" x14ac:dyDescent="0.25">
      <c r="A28" s="10" t="s">
        <v>67</v>
      </c>
    </row>
    <row r="29" spans="1:2" x14ac:dyDescent="0.25">
      <c r="A29" s="6" t="s">
        <v>68</v>
      </c>
      <c r="B29" s="14">
        <v>1017</v>
      </c>
    </row>
    <row r="30" spans="1:2" x14ac:dyDescent="0.25">
      <c r="A30" s="6" t="s">
        <v>15</v>
      </c>
      <c r="B30" s="9"/>
    </row>
    <row r="31" spans="1:2" x14ac:dyDescent="0.25">
      <c r="A31" s="6" t="s">
        <v>41</v>
      </c>
      <c r="B31" s="9"/>
    </row>
    <row r="32" spans="1:2" x14ac:dyDescent="0.25">
      <c r="A32" s="6" t="s">
        <v>44</v>
      </c>
      <c r="B32" s="9"/>
    </row>
    <row r="34" spans="1:1" x14ac:dyDescent="0.25">
      <c r="A34" s="10" t="s">
        <v>69</v>
      </c>
    </row>
    <row r="35" spans="1:1" x14ac:dyDescent="0.25">
      <c r="A35" s="6" t="s">
        <v>70</v>
      </c>
    </row>
    <row r="36" spans="1:1" x14ac:dyDescent="0.25">
      <c r="A36" s="6" t="s">
        <v>71</v>
      </c>
    </row>
    <row r="37" spans="1:1" x14ac:dyDescent="0.25">
      <c r="A37" s="6" t="s">
        <v>72</v>
      </c>
    </row>
    <row r="38" spans="1:2" x14ac:dyDescent="0.25">
      <c r="A38" s="6" t="s">
        <v>73</v>
      </c>
      <c r="B38" s="8">
        <f>SUM('Notas'!$F$2:$F$41)</f>
        <v>130980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FormatPr defaultRowHeight="15" outlineLevelRow="0" outlineLevelCol="0" x14ac:dyDescent="55"/>
  <cols>
    <col min="1" max="1" width="8" customWidth="1"/>
    <col min="2" max="2" width="12" customWidth="1"/>
    <col min="4" max="4" width="22" customWidth="1"/>
    <col min="5" max="5" width="16" customWidth="1"/>
    <col min="6" max="6" width="13" customWidth="1"/>
    <col min="7" max="7" width="12" customWidth="1"/>
    <col min="9" max="9" width="11" customWidth="1"/>
    <col min="10" max="10" width="3" customWidth="1"/>
    <col min="11" max="11" width="34" customWidth="1"/>
    <col min="12" max="14" width="16" customWidth="1"/>
    <col min="15" max="15" width="14" customWidth="1"/>
    <col min="16" max="16" width="20" customWidth="1"/>
  </cols>
  <sheetData>
    <row r="1" spans="1:1" x14ac:dyDescent="0.25">
      <c r="A1" s="10" t="s">
        <v>74</v>
      </c>
    </row>
    <row r="3" spans="1:11" x14ac:dyDescent="0.25">
      <c r="A3" s="5" t="s">
        <v>39</v>
      </c>
      <c r="B3" s="5" t="s">
        <v>40</v>
      </c>
      <c r="C3" s="5" t="s">
        <v>14</v>
      </c>
      <c r="D3" s="5" t="s">
        <v>15</v>
      </c>
      <c r="E3" s="5" t="s">
        <v>16</v>
      </c>
      <c r="F3" s="5" t="s">
        <v>41</v>
      </c>
      <c r="G3" s="5" t="s">
        <v>42</v>
      </c>
      <c r="H3" s="5" t="s">
        <v>43</v>
      </c>
      <c r="I3" s="5" t="s">
        <v>44</v>
      </c>
      <c r="K3" s="15" t="s">
        <v>45</v>
      </c>
    </row>
    <row r="4" spans="1:16" x14ac:dyDescent="0.25">
      <c r="A4" s="6">
        <v>1001</v>
      </c>
      <c r="B4" s="7">
        <v>46027</v>
      </c>
      <c r="C4" s="6" t="s">
        <v>21</v>
      </c>
      <c r="D4" s="6" t="str">
        <f>VLOOKUP(C4,'Fornecedores'!$A$2:$D$9,2,FALSE)</f>
        <v>Beta Tecnologia</v>
      </c>
      <c r="E4" s="6" t="str">
        <f>VLOOKUP(C4,'Fornecedores'!$A$2:$D$9,3,FALSE)</f>
        <v>TI</v>
      </c>
      <c r="F4" s="8">
        <v>2750</v>
      </c>
      <c r="G4" s="7">
        <f>B4+VLOOKUP(C4,'Fornecedores'!$A$2:$D$9,4,FALSE)</f>
        <v>46072</v>
      </c>
      <c r="H4" s="6" t="s">
        <v>46</v>
      </c>
      <c r="I4" s="6" t="str">
        <f>IF(H4="Paga","Paga",IF(G4&lt;'Exercícios'!$B$2,"Vencida","A vencer"))</f>
        <v>Paga</v>
      </c>
      <c r="K4" s="5" t="s">
        <v>16</v>
      </c>
      <c r="L4" s="5" t="s">
        <v>56</v>
      </c>
      <c r="M4" s="5" t="s">
        <v>57</v>
      </c>
      <c r="N4" s="5" t="s">
        <v>58</v>
      </c>
      <c r="O4" s="5" t="s">
        <v>59</v>
      </c>
      <c r="P4" s="5" t="s">
        <v>44</v>
      </c>
    </row>
    <row r="5" spans="1:16" x14ac:dyDescent="0.25">
      <c r="A5" s="6">
        <v>1002</v>
      </c>
      <c r="B5" s="7">
        <v>46030</v>
      </c>
      <c r="C5" s="6" t="s">
        <v>29</v>
      </c>
      <c r="D5" s="6" t="str">
        <f>VLOOKUP(C5,'Fornecedores'!$A$2:$D$9,2,FALSE)</f>
        <v>Épsilon Transmissões</v>
      </c>
      <c r="E5" s="6" t="str">
        <f>VLOOKUP(C5,'Fornecedores'!$A$2:$D$9,3,FALSE)</f>
        <v>Jornalismo</v>
      </c>
      <c r="F5" s="8">
        <v>5820</v>
      </c>
      <c r="G5" s="7">
        <f>B5+VLOOKUP(C5,'Fornecedores'!$A$2:$D$9,4,FALSE)</f>
        <v>46060</v>
      </c>
      <c r="H5" s="6" t="s">
        <v>46</v>
      </c>
      <c r="I5" s="6" t="str">
        <f>IF(H5="Paga","Paga",IF(G5&lt;'Exercícios'!$B$2,"Vencida","A vencer"))</f>
        <v>Paga</v>
      </c>
      <c r="K5" s="6" t="s">
        <v>20</v>
      </c>
      <c r="L5" s="8">
        <f>VLOOKUP(K5,'Orçamento'!$A$2:$F$6,6,FALSE)</f>
        <v>10700</v>
      </c>
      <c r="M5" s="8">
        <f>SUMIFS($F$4:$F$43,$E$4:$E$43,K5)</f>
        <v>9690</v>
      </c>
      <c r="N5" s="8">
        <f>M5-L5</f>
        <v>-1010</v>
      </c>
      <c r="O5" s="13">
        <f>IF(L5=0,0,N5/L5)</f>
        <v>-0.094392523364486</v>
      </c>
      <c r="P5" s="6" t="str">
        <f>IF(N5&gt;0,"Acima do previsto","Dentro do previsto")</f>
        <v>Dentro do previsto</v>
      </c>
    </row>
    <row r="6" spans="1:16" x14ac:dyDescent="0.25">
      <c r="A6" s="6">
        <v>1003</v>
      </c>
      <c r="B6" s="7">
        <v>46033</v>
      </c>
      <c r="C6" s="6" t="s">
        <v>37</v>
      </c>
      <c r="D6" s="6" t="str">
        <f>VLOOKUP(C6,'Fornecedores'!$A$2:$D$9,2,FALSE)</f>
        <v>Sigma Viagens</v>
      </c>
      <c r="E6" s="6" t="str">
        <f>VLOOKUP(C6,'Fornecedores'!$A$2:$D$9,3,FALSE)</f>
        <v>Jornalismo</v>
      </c>
      <c r="F6" s="8">
        <v>1290</v>
      </c>
      <c r="G6" s="7">
        <f>B6+VLOOKUP(C6,'Fornecedores'!$A$2:$D$9,4,FALSE)</f>
        <v>46043</v>
      </c>
      <c r="H6" s="6" t="s">
        <v>46</v>
      </c>
      <c r="I6" s="6" t="str">
        <f>IF(H6="Paga","Paga",IF(G6&lt;'Exercícios'!$B$2,"Vencida","A vencer"))</f>
        <v>Paga</v>
      </c>
      <c r="K6" s="6" t="s">
        <v>34</v>
      </c>
      <c r="L6" s="8">
        <f>VLOOKUP(K6,'Orçamento'!$A$2:$F$6,6,FALSE)</f>
        <v>6100</v>
      </c>
      <c r="M6" s="8">
        <f>SUMIFS($F$4:$F$43,$E$4:$E$43,K6)</f>
        <v>6800</v>
      </c>
      <c r="N6" s="8">
        <f>M6-L6</f>
        <v>700</v>
      </c>
      <c r="O6" s="13">
        <f>IF(L6=0,0,N6/L6)</f>
        <v>0.114754098360656</v>
      </c>
      <c r="P6" s="6" t="str">
        <f>IF(N6&gt;0,"Acima do previsto","Dentro do previsto")</f>
        <v>Acima do previsto</v>
      </c>
    </row>
    <row r="7" spans="1:16" x14ac:dyDescent="0.25">
      <c r="A7" s="6">
        <v>1004</v>
      </c>
      <c r="B7" s="7">
        <v>46036</v>
      </c>
      <c r="C7" s="6" t="s">
        <v>24</v>
      </c>
      <c r="D7" s="6" t="str">
        <f>VLOOKUP(C7,'Fornecedores'!$A$2:$D$9,2,FALSE)</f>
        <v>Gama Eventos</v>
      </c>
      <c r="E7" s="6" t="str">
        <f>VLOOKUP(C7,'Fornecedores'!$A$2:$D$9,3,FALSE)</f>
        <v>Marketing</v>
      </c>
      <c r="F7" s="8">
        <v>3630</v>
      </c>
      <c r="G7" s="7">
        <f>B7+VLOOKUP(C7,'Fornecedores'!$A$2:$D$9,4,FALSE)</f>
        <v>46051</v>
      </c>
      <c r="H7" s="6" t="s">
        <v>47</v>
      </c>
      <c r="I7" s="6" t="str">
        <f>IF(H7="Paga","Paga",IF(G7&lt;'Exercícios'!$B$2,"Vencida","A vencer"))</f>
        <v>Vencida</v>
      </c>
      <c r="K7" s="6" t="s">
        <v>31</v>
      </c>
      <c r="L7" s="8">
        <f>VLOOKUP(K7,'Orçamento'!$A$2:$F$6,6,FALSE)</f>
        <v>54700</v>
      </c>
      <c r="M7" s="8">
        <f>SUMIFS($F$4:$F$43,$E$4:$E$43,K7)</f>
        <v>52150</v>
      </c>
      <c r="N7" s="8">
        <f>M7-L7</f>
        <v>-2550</v>
      </c>
      <c r="O7" s="13">
        <f>IF(L7=0,0,N7/L7)</f>
        <v>-0.046617915904936</v>
      </c>
      <c r="P7" s="6" t="str">
        <f>IF(N7&gt;0,"Acima do previsto","Dentro do previsto")</f>
        <v>Dentro do previsto</v>
      </c>
    </row>
    <row r="8" spans="1:16" x14ac:dyDescent="0.25">
      <c r="A8" s="6">
        <v>1005</v>
      </c>
      <c r="B8" s="7">
        <v>46039</v>
      </c>
      <c r="C8" s="6" t="s">
        <v>32</v>
      </c>
      <c r="D8" s="6" t="str">
        <f>VLOOKUP(C8,'Fornecedores'!$A$2:$D$9,2,FALSE)</f>
        <v>Zeta Gráfica</v>
      </c>
      <c r="E8" s="6" t="str">
        <f>VLOOKUP(C8,'Fornecedores'!$A$2:$D$9,3,FALSE)</f>
        <v>Comercial</v>
      </c>
      <c r="F8" s="8">
        <v>1860</v>
      </c>
      <c r="G8" s="7">
        <f>B8+VLOOKUP(C8,'Fornecedores'!$A$2:$D$9,4,FALSE)</f>
        <v>46059</v>
      </c>
      <c r="H8" s="6" t="s">
        <v>46</v>
      </c>
      <c r="I8" s="6" t="str">
        <f>IF(H8="Paga","Paga",IF(G8&lt;'Exercícios'!$B$2,"Vencida","A vencer"))</f>
        <v>Paga</v>
      </c>
      <c r="K8" s="6" t="s">
        <v>26</v>
      </c>
      <c r="L8" s="8">
        <f>VLOOKUP(K8,'Orçamento'!$A$2:$F$6,6,FALSE)</f>
        <v>17100</v>
      </c>
      <c r="M8" s="8">
        <f>SUMIFS($F$4:$F$43,$E$4:$E$43,K8)</f>
        <v>21330</v>
      </c>
      <c r="N8" s="8">
        <f>M8-L8</f>
        <v>4230</v>
      </c>
      <c r="O8" s="13">
        <f>IF(L8=0,0,N8/L8)</f>
        <v>0.247368421052632</v>
      </c>
      <c r="P8" s="6" t="str">
        <f>IF(N8&gt;0,"Acima do previsto","Dentro do previsto")</f>
        <v>Acima do previsto</v>
      </c>
    </row>
    <row r="9" spans="1:16" x14ac:dyDescent="0.25">
      <c r="A9" s="6">
        <v>1006</v>
      </c>
      <c r="B9" s="7">
        <v>46041</v>
      </c>
      <c r="C9" s="6" t="s">
        <v>18</v>
      </c>
      <c r="D9" s="6" t="str">
        <f>VLOOKUP(C9,'Fornecedores'!$A$2:$D$9,2,FALSE)</f>
        <v>Alfa Papelaria</v>
      </c>
      <c r="E9" s="6" t="str">
        <f>VLOOKUP(C9,'Fornecedores'!$A$2:$D$9,3,FALSE)</f>
        <v>Administrativo</v>
      </c>
      <c r="F9" s="8">
        <v>1220</v>
      </c>
      <c r="G9" s="7">
        <f>B9+VLOOKUP(C9,'Fornecedores'!$A$2:$D$9,4,FALSE)</f>
        <v>46071</v>
      </c>
      <c r="H9" s="6" t="s">
        <v>46</v>
      </c>
      <c r="I9" s="6" t="str">
        <f>IF(H9="Paga","Paga",IF(G9&lt;'Exercícios'!$B$2,"Vencida","A vencer"))</f>
        <v>Paga</v>
      </c>
      <c r="K9" s="6" t="s">
        <v>23</v>
      </c>
      <c r="L9" s="8">
        <f>VLOOKUP(K9,'Orçamento'!$A$2:$F$6,6,FALSE)</f>
        <v>41000</v>
      </c>
      <c r="M9" s="8">
        <f>SUMIFS($F$4:$F$43,$E$4:$E$43,K9)</f>
        <v>41010</v>
      </c>
      <c r="N9" s="8">
        <f>M9-L9</f>
        <v>10</v>
      </c>
      <c r="O9" s="13">
        <f>IF(L9=0,0,N9/L9)</f>
        <v>0.00024390243902439</v>
      </c>
      <c r="P9" s="6" t="str">
        <f>IF(N9&gt;0,"Acima do previsto","Dentro do previsto")</f>
        <v>Acima do previsto</v>
      </c>
    </row>
    <row r="10" spans="1:15" x14ac:dyDescent="0.25">
      <c r="A10" s="6">
        <v>1007</v>
      </c>
      <c r="B10" s="7">
        <v>46044</v>
      </c>
      <c r="C10" s="6" t="s">
        <v>27</v>
      </c>
      <c r="D10" s="6" t="str">
        <f>VLOOKUP(C10,'Fornecedores'!$A$2:$D$9,2,FALSE)</f>
        <v>Delta Limpeza</v>
      </c>
      <c r="E10" s="6" t="str">
        <f>VLOOKUP(C10,'Fornecedores'!$A$2:$D$9,3,FALSE)</f>
        <v>Administrativo</v>
      </c>
      <c r="F10" s="8">
        <v>840</v>
      </c>
      <c r="G10" s="7">
        <f>B10+VLOOKUP(C10,'Fornecedores'!$A$2:$D$9,4,FALSE)</f>
        <v>46074</v>
      </c>
      <c r="H10" s="6" t="s">
        <v>46</v>
      </c>
      <c r="I10" s="6" t="str">
        <f>IF(H10="Paga","Paga",IF(G10&lt;'Exercícios'!$B$2,"Vencida","A vencer"))</f>
        <v>Paga</v>
      </c>
      <c r="K10" s="6" t="s">
        <v>52</v>
      </c>
      <c r="L10" s="8">
        <f>SUM(L5:L9)</f>
        <v>129600</v>
      </c>
      <c r="M10" s="8">
        <f>SUM(M5:M9)</f>
        <v>130980</v>
      </c>
      <c r="N10" s="8">
        <f>M10-L10</f>
        <v>1380</v>
      </c>
      <c r="O10" s="13">
        <f>IF(L10=0,0,N10/L10)</f>
        <v>0.0106481481481481</v>
      </c>
    </row>
    <row r="11" spans="1:9" x14ac:dyDescent="0.25">
      <c r="A11" s="6">
        <v>1008</v>
      </c>
      <c r="B11" s="7">
        <v>46047</v>
      </c>
      <c r="C11" s="6" t="s">
        <v>35</v>
      </c>
      <c r="D11" s="6" t="str">
        <f>VLOOKUP(C11,'Fornecedores'!$A$2:$D$9,2,FALSE)</f>
        <v>Ômega Software</v>
      </c>
      <c r="E11" s="6" t="str">
        <f>VLOOKUP(C11,'Fornecedores'!$A$2:$D$9,3,FALSE)</f>
        <v>TI</v>
      </c>
      <c r="F11" s="8">
        <v>2570</v>
      </c>
      <c r="G11" s="7">
        <f>B11+VLOOKUP(C11,'Fornecedores'!$A$2:$D$9,4,FALSE)</f>
        <v>46077</v>
      </c>
      <c r="H11" s="6" t="s">
        <v>46</v>
      </c>
      <c r="I11" s="6" t="str">
        <f>IF(H11="Paga","Paga",IF(G11&lt;'Exercícios'!$B$2,"Vencida","A vencer"))</f>
        <v>Paga</v>
      </c>
    </row>
    <row r="12" spans="1:11" x14ac:dyDescent="0.25">
      <c r="A12" s="6">
        <v>1009</v>
      </c>
      <c r="B12" s="7">
        <v>46050</v>
      </c>
      <c r="C12" s="6" t="s">
        <v>21</v>
      </c>
      <c r="D12" s="6" t="str">
        <f>VLOOKUP(C12,'Fornecedores'!$A$2:$D$9,2,FALSE)</f>
        <v>Beta Tecnologia</v>
      </c>
      <c r="E12" s="6" t="str">
        <f>VLOOKUP(C12,'Fornecedores'!$A$2:$D$9,3,FALSE)</f>
        <v>TI</v>
      </c>
      <c r="F12" s="8">
        <v>3620</v>
      </c>
      <c r="G12" s="7">
        <f>B12+VLOOKUP(C12,'Fornecedores'!$A$2:$D$9,4,FALSE)</f>
        <v>46095</v>
      </c>
      <c r="H12" s="6" t="s">
        <v>46</v>
      </c>
      <c r="I12" s="6" t="str">
        <f>IF(H12="Paga","Paga",IF(G12&lt;'Exercícios'!$B$2,"Vencida","A vencer"))</f>
        <v>Paga</v>
      </c>
      <c r="K12" s="10" t="s">
        <v>60</v>
      </c>
    </row>
    <row r="13" spans="1:12" x14ac:dyDescent="0.25">
      <c r="A13" s="6">
        <v>1010</v>
      </c>
      <c r="B13" s="7">
        <v>46053</v>
      </c>
      <c r="C13" s="6" t="s">
        <v>29</v>
      </c>
      <c r="D13" s="6" t="str">
        <f>VLOOKUP(C13,'Fornecedores'!$A$2:$D$9,2,FALSE)</f>
        <v>Épsilon Transmissões</v>
      </c>
      <c r="E13" s="6" t="str">
        <f>VLOOKUP(C13,'Fornecedores'!$A$2:$D$9,3,FALSE)</f>
        <v>Jornalismo</v>
      </c>
      <c r="F13" s="8">
        <v>3620</v>
      </c>
      <c r="G13" s="7">
        <f>B13+VLOOKUP(C13,'Fornecedores'!$A$2:$D$9,4,FALSE)</f>
        <v>46083</v>
      </c>
      <c r="H13" s="6" t="s">
        <v>46</v>
      </c>
      <c r="I13" s="6" t="str">
        <f>IF(H13="Paga","Paga",IF(G13&lt;'Exercícios'!$B$2,"Vencida","A vencer"))</f>
        <v>Paga</v>
      </c>
      <c r="K13" s="5" t="s">
        <v>16</v>
      </c>
      <c r="L13" s="5" t="s">
        <v>61</v>
      </c>
    </row>
    <row r="14" spans="1:12" x14ac:dyDescent="0.25">
      <c r="A14" s="6">
        <v>1011</v>
      </c>
      <c r="B14" s="7">
        <v>46056</v>
      </c>
      <c r="C14" s="6" t="s">
        <v>37</v>
      </c>
      <c r="D14" s="6" t="str">
        <f>VLOOKUP(C14,'Fornecedores'!$A$2:$D$9,2,FALSE)</f>
        <v>Sigma Viagens</v>
      </c>
      <c r="E14" s="6" t="str">
        <f>VLOOKUP(C14,'Fornecedores'!$A$2:$D$9,3,FALSE)</f>
        <v>Jornalismo</v>
      </c>
      <c r="F14" s="8">
        <v>5170</v>
      </c>
      <c r="G14" s="7">
        <f>B14+VLOOKUP(C14,'Fornecedores'!$A$2:$D$9,4,FALSE)</f>
        <v>46066</v>
      </c>
      <c r="H14" s="6" t="s">
        <v>47</v>
      </c>
      <c r="I14" s="6" t="str">
        <f>IF(H14="Paga","Paga",IF(G14&lt;'Exercícios'!$B$2,"Vencida","A vencer"))</f>
        <v>Vencida</v>
      </c>
      <c r="K14" s="6" t="s">
        <v>20</v>
      </c>
      <c r="L14" s="8">
        <f>SUMIFS($F$4:$F$43,$E$4:$E$43,K14,$B$4:$B$43,"&gt;="&amp;DATE(2026,3,1),$B$4:$B$43,"&lt;="&amp;EOMONTH(DATE(2026,3,1),0))</f>
        <v>2820</v>
      </c>
    </row>
    <row r="15" spans="1:12" x14ac:dyDescent="0.25">
      <c r="A15" s="6">
        <v>1012</v>
      </c>
      <c r="B15" s="7">
        <v>46059</v>
      </c>
      <c r="C15" s="6" t="s">
        <v>24</v>
      </c>
      <c r="D15" s="6" t="str">
        <f>VLOOKUP(C15,'Fornecedores'!$A$2:$D$9,2,FALSE)</f>
        <v>Gama Eventos</v>
      </c>
      <c r="E15" s="6" t="str">
        <f>VLOOKUP(C15,'Fornecedores'!$A$2:$D$9,3,FALSE)</f>
        <v>Marketing</v>
      </c>
      <c r="F15" s="8">
        <v>4800</v>
      </c>
      <c r="G15" s="7">
        <f>B15+VLOOKUP(C15,'Fornecedores'!$A$2:$D$9,4,FALSE)</f>
        <v>46074</v>
      </c>
      <c r="H15" s="6" t="s">
        <v>46</v>
      </c>
      <c r="I15" s="6" t="str">
        <f>IF(H15="Paga","Paga",IF(G15&lt;'Exercícios'!$B$2,"Vencida","A vencer"))</f>
        <v>Paga</v>
      </c>
      <c r="K15" s="6" t="s">
        <v>34</v>
      </c>
      <c r="L15" s="8">
        <f>SUMIFS($F$4:$F$43,$E$4:$E$43,K15,$B$4:$B$43,"&gt;="&amp;DATE(2026,3,1),$B$4:$B$43,"&lt;="&amp;EOMONTH(DATE(2026,3,1),0))</f>
        <v>2600</v>
      </c>
    </row>
    <row r="16" spans="1:12" x14ac:dyDescent="0.25">
      <c r="A16" s="6">
        <v>1013</v>
      </c>
      <c r="B16" s="7">
        <v>46062</v>
      </c>
      <c r="C16" s="6" t="s">
        <v>32</v>
      </c>
      <c r="D16" s="6" t="str">
        <f>VLOOKUP(C16,'Fornecedores'!$A$2:$D$9,2,FALSE)</f>
        <v>Zeta Gráfica</v>
      </c>
      <c r="E16" s="6" t="str">
        <f>VLOOKUP(C16,'Fornecedores'!$A$2:$D$9,3,FALSE)</f>
        <v>Comercial</v>
      </c>
      <c r="F16" s="8">
        <v>900</v>
      </c>
      <c r="G16" s="7">
        <f>B16+VLOOKUP(C16,'Fornecedores'!$A$2:$D$9,4,FALSE)</f>
        <v>46082</v>
      </c>
      <c r="H16" s="6" t="s">
        <v>46</v>
      </c>
      <c r="I16" s="6" t="str">
        <f>IF(H16="Paga","Paga",IF(G16&lt;'Exercícios'!$B$2,"Vencida","A vencer"))</f>
        <v>Paga</v>
      </c>
      <c r="K16" s="6" t="s">
        <v>31</v>
      </c>
      <c r="L16" s="8">
        <f>SUMIFS($F$4:$F$43,$E$4:$E$43,K16,$B$4:$B$43,"&gt;="&amp;DATE(2026,3,1),$B$4:$B$43,"&lt;="&amp;EOMONTH(DATE(2026,3,1),0))</f>
        <v>13280</v>
      </c>
    </row>
    <row r="17" spans="1:12" x14ac:dyDescent="0.25">
      <c r="A17" s="6">
        <v>1014</v>
      </c>
      <c r="B17" s="7">
        <v>46065</v>
      </c>
      <c r="C17" s="6" t="s">
        <v>18</v>
      </c>
      <c r="D17" s="6" t="str">
        <f>VLOOKUP(C17,'Fornecedores'!$A$2:$D$9,2,FALSE)</f>
        <v>Alfa Papelaria</v>
      </c>
      <c r="E17" s="6" t="str">
        <f>VLOOKUP(C17,'Fornecedores'!$A$2:$D$9,3,FALSE)</f>
        <v>Administrativo</v>
      </c>
      <c r="F17" s="8">
        <v>830</v>
      </c>
      <c r="G17" s="7">
        <f>B17+VLOOKUP(C17,'Fornecedores'!$A$2:$D$9,4,FALSE)</f>
        <v>46095</v>
      </c>
      <c r="H17" s="6" t="s">
        <v>46</v>
      </c>
      <c r="I17" s="6" t="str">
        <f>IF(H17="Paga","Paga",IF(G17&lt;'Exercícios'!$B$2,"Vencida","A vencer"))</f>
        <v>Paga</v>
      </c>
      <c r="K17" s="6" t="s">
        <v>26</v>
      </c>
      <c r="L17" s="8">
        <f>SUMIFS($F$4:$F$43,$E$4:$E$43,K17,$B$4:$B$43,"&gt;="&amp;DATE(2026,3,1),$B$4:$B$43,"&lt;="&amp;EOMONTH(DATE(2026,3,1),0))</f>
        <v>9440</v>
      </c>
    </row>
    <row r="18" spans="1:12" x14ac:dyDescent="0.25">
      <c r="A18" s="6">
        <v>1015</v>
      </c>
      <c r="B18" s="7">
        <v>46068</v>
      </c>
      <c r="C18" s="6" t="s">
        <v>27</v>
      </c>
      <c r="D18" s="6" t="str">
        <f>VLOOKUP(C18,'Fornecedores'!$A$2:$D$9,2,FALSE)</f>
        <v>Delta Limpeza</v>
      </c>
      <c r="E18" s="6" t="str">
        <f>VLOOKUP(C18,'Fornecedores'!$A$2:$D$9,3,FALSE)</f>
        <v>Administrativo</v>
      </c>
      <c r="F18" s="8">
        <v>1130</v>
      </c>
      <c r="G18" s="7">
        <f>B18+VLOOKUP(C18,'Fornecedores'!$A$2:$D$9,4,FALSE)</f>
        <v>46098</v>
      </c>
      <c r="H18" s="6" t="s">
        <v>46</v>
      </c>
      <c r="I18" s="6" t="str">
        <f>IF(H18="Paga","Paga",IF(G18&lt;'Exercícios'!$B$2,"Vencida","A vencer"))</f>
        <v>Paga</v>
      </c>
      <c r="K18" s="6" t="s">
        <v>23</v>
      </c>
      <c r="L18" s="8">
        <f>SUMIFS($F$4:$F$43,$E$4:$E$43,K18,$B$4:$B$43,"&gt;="&amp;DATE(2026,3,1),$B$4:$B$43,"&lt;="&amp;EOMONTH(DATE(2026,3,1),0))</f>
        <v>6290</v>
      </c>
    </row>
    <row r="19" spans="1:9" x14ac:dyDescent="0.25">
      <c r="A19" s="6">
        <v>1016</v>
      </c>
      <c r="B19" s="7">
        <v>46070</v>
      </c>
      <c r="C19" s="6" t="s">
        <v>35</v>
      </c>
      <c r="D19" s="6" t="str">
        <f>VLOOKUP(C19,'Fornecedores'!$A$2:$D$9,2,FALSE)</f>
        <v>Ômega Software</v>
      </c>
      <c r="E19" s="6" t="str">
        <f>VLOOKUP(C19,'Fornecedores'!$A$2:$D$9,3,FALSE)</f>
        <v>TI</v>
      </c>
      <c r="F19" s="8">
        <v>4360</v>
      </c>
      <c r="G19" s="7">
        <f>B19+VLOOKUP(C19,'Fornecedores'!$A$2:$D$9,4,FALSE)</f>
        <v>46100</v>
      </c>
      <c r="H19" s="6" t="s">
        <v>46</v>
      </c>
      <c r="I19" s="6" t="str">
        <f>IF(H19="Paga","Paga",IF(G19&lt;'Exercícios'!$B$2,"Vencida","A vencer"))</f>
        <v>Paga</v>
      </c>
    </row>
    <row r="20" spans="1:11" x14ac:dyDescent="0.25">
      <c r="A20" s="6">
        <v>1017</v>
      </c>
      <c r="B20" s="7">
        <v>46073</v>
      </c>
      <c r="C20" s="6" t="s">
        <v>21</v>
      </c>
      <c r="D20" s="6" t="str">
        <f>VLOOKUP(C20,'Fornecedores'!$A$2:$D$9,2,FALSE)</f>
        <v>Beta Tecnologia</v>
      </c>
      <c r="E20" s="6" t="str">
        <f>VLOOKUP(C20,'Fornecedores'!$A$2:$D$9,3,FALSE)</f>
        <v>TI</v>
      </c>
      <c r="F20" s="8">
        <v>5310</v>
      </c>
      <c r="G20" s="7">
        <f>B20+VLOOKUP(C20,'Fornecedores'!$A$2:$D$9,4,FALSE)</f>
        <v>46118</v>
      </c>
      <c r="H20" s="6" t="s">
        <v>46</v>
      </c>
      <c r="I20" s="6" t="str">
        <f>IF(H20="Paga","Paga",IF(G20&lt;'Exercícios'!$B$2,"Vencida","A vencer"))</f>
        <v>Paga</v>
      </c>
      <c r="K20" s="10" t="s">
        <v>62</v>
      </c>
    </row>
    <row r="21" spans="1:12" x14ac:dyDescent="0.25">
      <c r="A21" s="6">
        <v>1018</v>
      </c>
      <c r="B21" s="7">
        <v>46076</v>
      </c>
      <c r="C21" s="6" t="s">
        <v>29</v>
      </c>
      <c r="D21" s="6" t="str">
        <f>VLOOKUP(C21,'Fornecedores'!$A$2:$D$9,2,FALSE)</f>
        <v>Épsilon Transmissões</v>
      </c>
      <c r="E21" s="6" t="str">
        <f>VLOOKUP(C21,'Fornecedores'!$A$2:$D$9,3,FALSE)</f>
        <v>Jornalismo</v>
      </c>
      <c r="F21" s="8">
        <v>6750</v>
      </c>
      <c r="G21" s="7">
        <f>B21+VLOOKUP(C21,'Fornecedores'!$A$2:$D$9,4,FALSE)</f>
        <v>46106</v>
      </c>
      <c r="H21" s="6" t="s">
        <v>47</v>
      </c>
      <c r="I21" s="6" t="str">
        <f>IF(H21="Paga","Paga",IF(G21&lt;'Exercícios'!$B$2,"Vencida","A vencer"))</f>
        <v>Vencida</v>
      </c>
      <c r="K21" s="6" t="s">
        <v>75</v>
      </c>
      <c r="L21" s="6">
        <f>COUNTIFS($H$4:$H$43,"Aberta")</f>
        <v>13</v>
      </c>
    </row>
    <row r="22" spans="1:12" x14ac:dyDescent="0.25">
      <c r="A22" s="6">
        <v>1019</v>
      </c>
      <c r="B22" s="7">
        <v>46079</v>
      </c>
      <c r="C22" s="6" t="s">
        <v>37</v>
      </c>
      <c r="D22" s="6" t="str">
        <f>VLOOKUP(C22,'Fornecedores'!$A$2:$D$9,2,FALSE)</f>
        <v>Sigma Viagens</v>
      </c>
      <c r="E22" s="6" t="str">
        <f>VLOOKUP(C22,'Fornecedores'!$A$2:$D$9,3,FALSE)</f>
        <v>Jornalismo</v>
      </c>
      <c r="F22" s="8">
        <v>4380</v>
      </c>
      <c r="G22" s="7">
        <f>B22+VLOOKUP(C22,'Fornecedores'!$A$2:$D$9,4,FALSE)</f>
        <v>46089</v>
      </c>
      <c r="H22" s="6" t="s">
        <v>46</v>
      </c>
      <c r="I22" s="6" t="str">
        <f>IF(H22="Paga","Paga",IF(G22&lt;'Exercícios'!$B$2,"Vencida","A vencer"))</f>
        <v>Paga</v>
      </c>
      <c r="K22" s="6" t="s">
        <v>76</v>
      </c>
      <c r="L22" s="6">
        <f>COUNTIFS($I$4:$I$43,"Vencida")</f>
        <v>3</v>
      </c>
    </row>
    <row r="23" spans="1:12" x14ac:dyDescent="0.25">
      <c r="A23" s="6">
        <v>1020</v>
      </c>
      <c r="B23" s="7">
        <v>46082</v>
      </c>
      <c r="C23" s="6" t="s">
        <v>24</v>
      </c>
      <c r="D23" s="6" t="str">
        <f>VLOOKUP(C23,'Fornecedores'!$A$2:$D$9,2,FALSE)</f>
        <v>Gama Eventos</v>
      </c>
      <c r="E23" s="6" t="str">
        <f>VLOOKUP(C23,'Fornecedores'!$A$2:$D$9,3,FALSE)</f>
        <v>Marketing</v>
      </c>
      <c r="F23" s="8">
        <v>4780</v>
      </c>
      <c r="G23" s="7">
        <f>B23+VLOOKUP(C23,'Fornecedores'!$A$2:$D$9,4,FALSE)</f>
        <v>46097</v>
      </c>
      <c r="H23" s="6" t="s">
        <v>46</v>
      </c>
      <c r="I23" s="6" t="str">
        <f>IF(H23="Paga","Paga",IF(G23&lt;'Exercícios'!$B$2,"Vencida","A vencer"))</f>
        <v>Paga</v>
      </c>
      <c r="K23" s="6" t="s">
        <v>77</v>
      </c>
      <c r="L23" s="13">
        <f>L22/COUNTA($A$4:$A$43)</f>
        <v>0.075</v>
      </c>
    </row>
    <row r="24" spans="1:12" x14ac:dyDescent="0.25">
      <c r="A24" s="6">
        <v>1021</v>
      </c>
      <c r="B24" s="7">
        <v>46085</v>
      </c>
      <c r="C24" s="6" t="s">
        <v>32</v>
      </c>
      <c r="D24" s="6" t="str">
        <f>VLOOKUP(C24,'Fornecedores'!$A$2:$D$9,2,FALSE)</f>
        <v>Zeta Gráfica</v>
      </c>
      <c r="E24" s="6" t="str">
        <f>VLOOKUP(C24,'Fornecedores'!$A$2:$D$9,3,FALSE)</f>
        <v>Comercial</v>
      </c>
      <c r="F24" s="8">
        <v>2030</v>
      </c>
      <c r="G24" s="7">
        <f>B24+VLOOKUP(C24,'Fornecedores'!$A$2:$D$9,4,FALSE)</f>
        <v>46105</v>
      </c>
      <c r="H24" s="6" t="s">
        <v>46</v>
      </c>
      <c r="I24" s="6" t="str">
        <f>IF(H24="Paga","Paga",IF(G24&lt;'Exercícios'!$B$2,"Vencida","A vencer"))</f>
        <v>Paga</v>
      </c>
      <c r="K24" s="6" t="s">
        <v>66</v>
      </c>
      <c r="L24" s="8">
        <f>SUMIFS($F$4:$F$43,$H$4:$H$43,"Aberta")</f>
        <v>49440</v>
      </c>
    </row>
    <row r="25" spans="1:9" x14ac:dyDescent="0.25">
      <c r="A25" s="6">
        <v>1022</v>
      </c>
      <c r="B25" s="7">
        <v>46088</v>
      </c>
      <c r="C25" s="6" t="s">
        <v>18</v>
      </c>
      <c r="D25" s="6" t="str">
        <f>VLOOKUP(C25,'Fornecedores'!$A$2:$D$9,2,FALSE)</f>
        <v>Alfa Papelaria</v>
      </c>
      <c r="E25" s="6" t="str">
        <f>VLOOKUP(C25,'Fornecedores'!$A$2:$D$9,3,FALSE)</f>
        <v>Administrativo</v>
      </c>
      <c r="F25" s="8">
        <v>480</v>
      </c>
      <c r="G25" s="7">
        <f>B25+VLOOKUP(C25,'Fornecedores'!$A$2:$D$9,4,FALSE)</f>
        <v>46118</v>
      </c>
      <c r="H25" s="6" t="s">
        <v>46</v>
      </c>
      <c r="I25" s="6" t="str">
        <f>IF(H25="Paga","Paga",IF(G25&lt;'Exercícios'!$B$2,"Vencida","A vencer"))</f>
        <v>Paga</v>
      </c>
    </row>
    <row r="26" spans="1:11" x14ac:dyDescent="0.25">
      <c r="A26" s="6">
        <v>1023</v>
      </c>
      <c r="B26" s="7">
        <v>46091</v>
      </c>
      <c r="C26" s="6" t="s">
        <v>27</v>
      </c>
      <c r="D26" s="6" t="str">
        <f>VLOOKUP(C26,'Fornecedores'!$A$2:$D$9,2,FALSE)</f>
        <v>Delta Limpeza</v>
      </c>
      <c r="E26" s="6" t="str">
        <f>VLOOKUP(C26,'Fornecedores'!$A$2:$D$9,3,FALSE)</f>
        <v>Administrativo</v>
      </c>
      <c r="F26" s="8">
        <v>920</v>
      </c>
      <c r="G26" s="7">
        <f>B26+VLOOKUP(C26,'Fornecedores'!$A$2:$D$9,4,FALSE)</f>
        <v>46121</v>
      </c>
      <c r="H26" s="6" t="s">
        <v>46</v>
      </c>
      <c r="I26" s="6" t="str">
        <f>IF(H26="Paga","Paga",IF(G26&lt;'Exercícios'!$B$2,"Vencida","A vencer"))</f>
        <v>Paga</v>
      </c>
      <c r="K26" s="10" t="s">
        <v>67</v>
      </c>
    </row>
    <row r="27" spans="1:12" x14ac:dyDescent="0.25">
      <c r="A27" s="6">
        <v>1024</v>
      </c>
      <c r="B27" s="7">
        <v>46094</v>
      </c>
      <c r="C27" s="6" t="s">
        <v>35</v>
      </c>
      <c r="D27" s="6" t="str">
        <f>VLOOKUP(C27,'Fornecedores'!$A$2:$D$9,2,FALSE)</f>
        <v>Ômega Software</v>
      </c>
      <c r="E27" s="6" t="str">
        <f>VLOOKUP(C27,'Fornecedores'!$A$2:$D$9,3,FALSE)</f>
        <v>TI</v>
      </c>
      <c r="F27" s="8">
        <v>2270</v>
      </c>
      <c r="G27" s="7">
        <f>B27+VLOOKUP(C27,'Fornecedores'!$A$2:$D$9,4,FALSE)</f>
        <v>46124</v>
      </c>
      <c r="H27" s="6" t="s">
        <v>46</v>
      </c>
      <c r="I27" s="6" t="str">
        <f>IF(H27="Paga","Paga",IF(G27&lt;'Exercícios'!$B$2,"Vencida","A vencer"))</f>
        <v>Paga</v>
      </c>
      <c r="K27" s="6" t="s">
        <v>68</v>
      </c>
      <c r="L27" s="6">
        <f>'Exercícios'!$B$29</f>
        <v>1017</v>
      </c>
    </row>
    <row r="28" spans="1:12" x14ac:dyDescent="0.25">
      <c r="A28" s="6">
        <v>1025</v>
      </c>
      <c r="B28" s="7">
        <v>46097</v>
      </c>
      <c r="C28" s="6" t="s">
        <v>21</v>
      </c>
      <c r="D28" s="6" t="str">
        <f>VLOOKUP(C28,'Fornecedores'!$A$2:$D$9,2,FALSE)</f>
        <v>Beta Tecnologia</v>
      </c>
      <c r="E28" s="6" t="str">
        <f>VLOOKUP(C28,'Fornecedores'!$A$2:$D$9,3,FALSE)</f>
        <v>TI</v>
      </c>
      <c r="F28" s="8">
        <v>4020</v>
      </c>
      <c r="G28" s="7">
        <f>B28+VLOOKUP(C28,'Fornecedores'!$A$2:$D$9,4,FALSE)</f>
        <v>46142</v>
      </c>
      <c r="H28" s="6" t="s">
        <v>47</v>
      </c>
      <c r="I28" s="6" t="str">
        <f>IF(H28="Paga","Paga",IF(G28&lt;'Exercícios'!$B$2,"Vencida","A vencer"))</f>
        <v>A vencer</v>
      </c>
      <c r="K28" s="6" t="s">
        <v>15</v>
      </c>
      <c r="L28" s="6" t="str">
        <f>VLOOKUP(L27,$A$4:$I$43,4,FALSE)</f>
        <v>Beta Tecnologia</v>
      </c>
    </row>
    <row r="29" spans="1:12" x14ac:dyDescent="0.25">
      <c r="A29" s="6">
        <v>1026</v>
      </c>
      <c r="B29" s="7">
        <v>46099</v>
      </c>
      <c r="C29" s="6" t="s">
        <v>29</v>
      </c>
      <c r="D29" s="6" t="str">
        <f>VLOOKUP(C29,'Fornecedores'!$A$2:$D$9,2,FALSE)</f>
        <v>Épsilon Transmissões</v>
      </c>
      <c r="E29" s="6" t="str">
        <f>VLOOKUP(C29,'Fornecedores'!$A$2:$D$9,3,FALSE)</f>
        <v>Jornalismo</v>
      </c>
      <c r="F29" s="8">
        <v>6920</v>
      </c>
      <c r="G29" s="7">
        <f>B29+VLOOKUP(C29,'Fornecedores'!$A$2:$D$9,4,FALSE)</f>
        <v>46129</v>
      </c>
      <c r="H29" s="6" t="s">
        <v>46</v>
      </c>
      <c r="I29" s="6" t="str">
        <f>IF(H29="Paga","Paga",IF(G29&lt;'Exercícios'!$B$2,"Vencida","A vencer"))</f>
        <v>Paga</v>
      </c>
      <c r="K29" s="6" t="s">
        <v>41</v>
      </c>
      <c r="L29" s="8">
        <f>VLOOKUP(L27,$A$4:$I$43,6,FALSE)</f>
        <v>5310</v>
      </c>
    </row>
    <row r="30" spans="1:12" x14ac:dyDescent="0.25">
      <c r="A30" s="6">
        <v>1027</v>
      </c>
      <c r="B30" s="7">
        <v>46102</v>
      </c>
      <c r="C30" s="6" t="s">
        <v>37</v>
      </c>
      <c r="D30" s="6" t="str">
        <f>VLOOKUP(C30,'Fornecedores'!$A$2:$D$9,2,FALSE)</f>
        <v>Sigma Viagens</v>
      </c>
      <c r="E30" s="6" t="str">
        <f>VLOOKUP(C30,'Fornecedores'!$A$2:$D$9,3,FALSE)</f>
        <v>Jornalismo</v>
      </c>
      <c r="F30" s="8">
        <v>6360</v>
      </c>
      <c r="G30" s="7">
        <f>B30+VLOOKUP(C30,'Fornecedores'!$A$2:$D$9,4,FALSE)</f>
        <v>46112</v>
      </c>
      <c r="H30" s="6" t="s">
        <v>46</v>
      </c>
      <c r="I30" s="6" t="str">
        <f>IF(H30="Paga","Paga",IF(G30&lt;'Exercícios'!$B$2,"Vencida","A vencer"))</f>
        <v>Paga</v>
      </c>
      <c r="K30" s="6" t="s">
        <v>44</v>
      </c>
      <c r="L30" s="6" t="str">
        <f>VLOOKUP(L27,$A$4:$I$43,9,FALSE)</f>
        <v>Paga</v>
      </c>
    </row>
    <row r="31" spans="1:9" x14ac:dyDescent="0.25">
      <c r="A31" s="6">
        <v>1028</v>
      </c>
      <c r="B31" s="7">
        <v>46105</v>
      </c>
      <c r="C31" s="6" t="s">
        <v>24</v>
      </c>
      <c r="D31" s="6" t="str">
        <f>VLOOKUP(C31,'Fornecedores'!$A$2:$D$9,2,FALSE)</f>
        <v>Gama Eventos</v>
      </c>
      <c r="E31" s="6" t="str">
        <f>VLOOKUP(C31,'Fornecedores'!$A$2:$D$9,3,FALSE)</f>
        <v>Marketing</v>
      </c>
      <c r="F31" s="8">
        <v>4660</v>
      </c>
      <c r="G31" s="7">
        <f>B31+VLOOKUP(C31,'Fornecedores'!$A$2:$D$9,4,FALSE)</f>
        <v>46120</v>
      </c>
      <c r="H31" s="6" t="s">
        <v>46</v>
      </c>
      <c r="I31" s="6" t="str">
        <f>IF(H31="Paga","Paga",IF(G31&lt;'Exercícios'!$B$2,"Vencida","A vencer"))</f>
        <v>Paga</v>
      </c>
    </row>
    <row r="32" spans="1:11" x14ac:dyDescent="0.25">
      <c r="A32" s="6">
        <v>1029</v>
      </c>
      <c r="B32" s="7">
        <v>46108</v>
      </c>
      <c r="C32" s="6" t="s">
        <v>32</v>
      </c>
      <c r="D32" s="6" t="str">
        <f>VLOOKUP(C32,'Fornecedores'!$A$2:$D$9,2,FALSE)</f>
        <v>Zeta Gráfica</v>
      </c>
      <c r="E32" s="6" t="str">
        <f>VLOOKUP(C32,'Fornecedores'!$A$2:$D$9,3,FALSE)</f>
        <v>Comercial</v>
      </c>
      <c r="F32" s="8">
        <v>570</v>
      </c>
      <c r="G32" s="7">
        <f>B32+VLOOKUP(C32,'Fornecedores'!$A$2:$D$9,4,FALSE)</f>
        <v>46128</v>
      </c>
      <c r="H32" s="6" t="s">
        <v>46</v>
      </c>
      <c r="I32" s="6" t="str">
        <f>IF(H32="Paga","Paga",IF(G32&lt;'Exercícios'!$B$2,"Vencida","A vencer"))</f>
        <v>Paga</v>
      </c>
      <c r="K32" s="10" t="s">
        <v>78</v>
      </c>
    </row>
    <row r="33" spans="1:14" x14ac:dyDescent="0.25">
      <c r="A33" s="6">
        <v>1030</v>
      </c>
      <c r="B33" s="7">
        <v>46111</v>
      </c>
      <c r="C33" s="6" t="s">
        <v>18</v>
      </c>
      <c r="D33" s="6" t="str">
        <f>VLOOKUP(C33,'Fornecedores'!$A$2:$D$9,2,FALSE)</f>
        <v>Alfa Papelaria</v>
      </c>
      <c r="E33" s="6" t="str">
        <f>VLOOKUP(C33,'Fornecedores'!$A$2:$D$9,3,FALSE)</f>
        <v>Administrativo</v>
      </c>
      <c r="F33" s="8">
        <v>1420</v>
      </c>
      <c r="G33" s="7">
        <f>B33+VLOOKUP(C33,'Fornecedores'!$A$2:$D$9,4,FALSE)</f>
        <v>46141</v>
      </c>
      <c r="H33" s="6" t="s">
        <v>46</v>
      </c>
      <c r="I33" s="6" t="str">
        <f>IF(H33="Paga","Paga",IF(G33&lt;'Exercícios'!$B$2,"Vencida","A vencer"))</f>
        <v>Paga</v>
      </c>
      <c r="K33" s="5" t="s">
        <v>16</v>
      </c>
      <c r="L33" s="5" t="s">
        <v>47</v>
      </c>
      <c r="M33" s="5" t="s">
        <v>46</v>
      </c>
      <c r="N33" s="5" t="s">
        <v>79</v>
      </c>
    </row>
    <row r="34" spans="1:14" x14ac:dyDescent="0.25">
      <c r="A34" s="6">
        <v>1031</v>
      </c>
      <c r="B34" s="7">
        <v>46114</v>
      </c>
      <c r="C34" s="6" t="s">
        <v>27</v>
      </c>
      <c r="D34" s="6" t="str">
        <f>VLOOKUP(C34,'Fornecedores'!$A$2:$D$9,2,FALSE)</f>
        <v>Delta Limpeza</v>
      </c>
      <c r="E34" s="6" t="str">
        <f>VLOOKUP(C34,'Fornecedores'!$A$2:$D$9,3,FALSE)</f>
        <v>Administrativo</v>
      </c>
      <c r="F34" s="8">
        <v>740</v>
      </c>
      <c r="G34" s="7">
        <f>B34+VLOOKUP(C34,'Fornecedores'!$A$2:$D$9,4,FALSE)</f>
        <v>46144</v>
      </c>
      <c r="H34" s="6" t="s">
        <v>47</v>
      </c>
      <c r="I34" s="6" t="str">
        <f>IF(H34="Paga","Paga",IF(G34&lt;'Exercícios'!$B$2,"Vencida","A vencer"))</f>
        <v>A vencer</v>
      </c>
      <c r="K34" s="6" t="s">
        <v>20</v>
      </c>
      <c r="L34" s="8">
        <f>SUMIFS($F$4:$F$43,$E$4:$E$43,$K34,$H$4:$H$43,L$33)</f>
        <v>2850</v>
      </c>
      <c r="M34" s="8">
        <f>SUMIFS($F$4:$F$43,$E$4:$E$43,$K34,$H$4:$H$43,M$33)</f>
        <v>6840</v>
      </c>
      <c r="N34" s="8">
        <f>L34+M34</f>
        <v>9690</v>
      </c>
    </row>
    <row r="35" spans="1:14" x14ac:dyDescent="0.25">
      <c r="A35" s="6">
        <v>1032</v>
      </c>
      <c r="B35" s="7">
        <v>46117</v>
      </c>
      <c r="C35" s="6" t="s">
        <v>35</v>
      </c>
      <c r="D35" s="6" t="str">
        <f>VLOOKUP(C35,'Fornecedores'!$A$2:$D$9,2,FALSE)</f>
        <v>Ômega Software</v>
      </c>
      <c r="E35" s="6" t="str">
        <f>VLOOKUP(C35,'Fornecedores'!$A$2:$D$9,3,FALSE)</f>
        <v>TI</v>
      </c>
      <c r="F35" s="8">
        <v>4880</v>
      </c>
      <c r="G35" s="7">
        <f>B35+VLOOKUP(C35,'Fornecedores'!$A$2:$D$9,4,FALSE)</f>
        <v>46147</v>
      </c>
      <c r="H35" s="6" t="s">
        <v>47</v>
      </c>
      <c r="I35" s="6" t="str">
        <f>IF(H35="Paga","Paga",IF(G35&lt;'Exercícios'!$B$2,"Vencida","A vencer"))</f>
        <v>A vencer</v>
      </c>
      <c r="K35" s="6" t="s">
        <v>34</v>
      </c>
      <c r="L35" s="8">
        <f>SUMIFS($F$4:$F$43,$E$4:$E$43,$K35,$H$4:$H$43,L$33)</f>
        <v>1440</v>
      </c>
      <c r="M35" s="8">
        <f>SUMIFS($F$4:$F$43,$E$4:$E$43,$K35,$H$4:$H$43,M$33)</f>
        <v>5360</v>
      </c>
      <c r="N35" s="8">
        <f>L35+M35</f>
        <v>6800</v>
      </c>
    </row>
    <row r="36" spans="1:14" x14ac:dyDescent="0.25">
      <c r="A36" s="6">
        <v>1033</v>
      </c>
      <c r="B36" s="7">
        <v>46120</v>
      </c>
      <c r="C36" s="6" t="s">
        <v>21</v>
      </c>
      <c r="D36" s="6" t="str">
        <f>VLOOKUP(C36,'Fornecedores'!$A$2:$D$9,2,FALSE)</f>
        <v>Beta Tecnologia</v>
      </c>
      <c r="E36" s="6" t="str">
        <f>VLOOKUP(C36,'Fornecedores'!$A$2:$D$9,3,FALSE)</f>
        <v>TI</v>
      </c>
      <c r="F36" s="8">
        <v>5480</v>
      </c>
      <c r="G36" s="7">
        <f>B36+VLOOKUP(C36,'Fornecedores'!$A$2:$D$9,4,FALSE)</f>
        <v>46165</v>
      </c>
      <c r="H36" s="6" t="s">
        <v>47</v>
      </c>
      <c r="I36" s="6" t="str">
        <f>IF(H36="Paga","Paga",IF(G36&lt;'Exercícios'!$B$2,"Vencida","A vencer"))</f>
        <v>A vencer</v>
      </c>
      <c r="K36" s="6" t="s">
        <v>31</v>
      </c>
      <c r="L36" s="8">
        <f>SUMIFS($F$4:$F$43,$E$4:$E$43,$K36,$H$4:$H$43,L$33)</f>
        <v>17930</v>
      </c>
      <c r="M36" s="8">
        <f>SUMIFS($F$4:$F$43,$E$4:$E$43,$K36,$H$4:$H$43,M$33)</f>
        <v>34220</v>
      </c>
      <c r="N36" s="8">
        <f>L36+M36</f>
        <v>52150</v>
      </c>
    </row>
    <row r="37" spans="1:14" x14ac:dyDescent="0.25">
      <c r="A37" s="6">
        <v>1034</v>
      </c>
      <c r="B37" s="7">
        <v>46123</v>
      </c>
      <c r="C37" s="6" t="s">
        <v>29</v>
      </c>
      <c r="D37" s="6" t="str">
        <f>VLOOKUP(C37,'Fornecedores'!$A$2:$D$9,2,FALSE)</f>
        <v>Épsilon Transmissões</v>
      </c>
      <c r="E37" s="6" t="str">
        <f>VLOOKUP(C37,'Fornecedores'!$A$2:$D$9,3,FALSE)</f>
        <v>Jornalismo</v>
      </c>
      <c r="F37" s="8">
        <v>6010</v>
      </c>
      <c r="G37" s="7">
        <f>B37+VLOOKUP(C37,'Fornecedores'!$A$2:$D$9,4,FALSE)</f>
        <v>46153</v>
      </c>
      <c r="H37" s="6" t="s">
        <v>47</v>
      </c>
      <c r="I37" s="6" t="str">
        <f>IF(H37="Paga","Paga",IF(G37&lt;'Exercícios'!$B$2,"Vencida","A vencer"))</f>
        <v>A vencer</v>
      </c>
      <c r="K37" s="6" t="s">
        <v>26</v>
      </c>
      <c r="L37" s="8">
        <f>SUMIFS($F$4:$F$43,$E$4:$E$43,$K37,$H$4:$H$43,L$33)</f>
        <v>7090</v>
      </c>
      <c r="M37" s="8">
        <f>SUMIFS($F$4:$F$43,$E$4:$E$43,$K37,$H$4:$H$43,M$33)</f>
        <v>14240</v>
      </c>
      <c r="N37" s="8">
        <f>L37+M37</f>
        <v>21330</v>
      </c>
    </row>
    <row r="38" spans="1:14" x14ac:dyDescent="0.25">
      <c r="A38" s="6">
        <v>1035</v>
      </c>
      <c r="B38" s="7">
        <v>46126</v>
      </c>
      <c r="C38" s="6" t="s">
        <v>37</v>
      </c>
      <c r="D38" s="6" t="str">
        <f>VLOOKUP(C38,'Fornecedores'!$A$2:$D$9,2,FALSE)</f>
        <v>Sigma Viagens</v>
      </c>
      <c r="E38" s="6" t="str">
        <f>VLOOKUP(C38,'Fornecedores'!$A$2:$D$9,3,FALSE)</f>
        <v>Jornalismo</v>
      </c>
      <c r="F38" s="8">
        <v>5830</v>
      </c>
      <c r="G38" s="7">
        <f>B38+VLOOKUP(C38,'Fornecedores'!$A$2:$D$9,4,FALSE)</f>
        <v>46136</v>
      </c>
      <c r="H38" s="6" t="s">
        <v>46</v>
      </c>
      <c r="I38" s="6" t="str">
        <f>IF(H38="Paga","Paga",IF(G38&lt;'Exercícios'!$B$2,"Vencida","A vencer"))</f>
        <v>Paga</v>
      </c>
      <c r="K38" s="6" t="s">
        <v>23</v>
      </c>
      <c r="L38" s="8">
        <f>SUMIFS($F$4:$F$43,$E$4:$E$43,$K38,$H$4:$H$43,L$33)</f>
        <v>20130</v>
      </c>
      <c r="M38" s="8">
        <f>SUMIFS($F$4:$F$43,$E$4:$E$43,$K38,$H$4:$H$43,M$33)</f>
        <v>20880</v>
      </c>
      <c r="N38" s="8">
        <f>L38+M38</f>
        <v>41010</v>
      </c>
    </row>
    <row r="39" spans="1:14" x14ac:dyDescent="0.25">
      <c r="A39" s="6">
        <v>1036</v>
      </c>
      <c r="B39" s="7">
        <v>46128</v>
      </c>
      <c r="C39" s="6" t="s">
        <v>24</v>
      </c>
      <c r="D39" s="6" t="str">
        <f>VLOOKUP(C39,'Fornecedores'!$A$2:$D$9,2,FALSE)</f>
        <v>Gama Eventos</v>
      </c>
      <c r="E39" s="6" t="str">
        <f>VLOOKUP(C39,'Fornecedores'!$A$2:$D$9,3,FALSE)</f>
        <v>Marketing</v>
      </c>
      <c r="F39" s="8">
        <v>3460</v>
      </c>
      <c r="G39" s="7">
        <f>B39+VLOOKUP(C39,'Fornecedores'!$A$2:$D$9,4,FALSE)</f>
        <v>46143</v>
      </c>
      <c r="H39" s="6" t="s">
        <v>47</v>
      </c>
      <c r="I39" s="6" t="str">
        <f>IF(H39="Paga","Paga",IF(G39&lt;'Exercícios'!$B$2,"Vencida","A vencer"))</f>
        <v>A vencer</v>
      </c>
      <c r="K39" s="6" t="s">
        <v>79</v>
      </c>
      <c r="L39" s="8">
        <f>SUM(L34:L38)</f>
        <v>49440</v>
      </c>
      <c r="M39" s="8">
        <f>SUM(M34:M38)</f>
        <v>81540</v>
      </c>
      <c r="N39" s="8">
        <f>SUM(N34:N38)</f>
        <v>130980</v>
      </c>
    </row>
    <row r="40" spans="1:9" x14ac:dyDescent="0.25">
      <c r="A40" s="6">
        <v>1037</v>
      </c>
      <c r="B40" s="7">
        <v>46131</v>
      </c>
      <c r="C40" s="6" t="s">
        <v>32</v>
      </c>
      <c r="D40" s="6" t="str">
        <f>VLOOKUP(C40,'Fornecedores'!$A$2:$D$9,2,FALSE)</f>
        <v>Zeta Gráfica</v>
      </c>
      <c r="E40" s="6" t="str">
        <f>VLOOKUP(C40,'Fornecedores'!$A$2:$D$9,3,FALSE)</f>
        <v>Comercial</v>
      </c>
      <c r="F40" s="8">
        <v>1440</v>
      </c>
      <c r="G40" s="7">
        <f>B40+VLOOKUP(C40,'Fornecedores'!$A$2:$D$9,4,FALSE)</f>
        <v>46151</v>
      </c>
      <c r="H40" s="6" t="s">
        <v>47</v>
      </c>
      <c r="I40" s="6" t="str">
        <f>IF(H40="Paga","Paga",IF(G40&lt;'Exercícios'!$B$2,"Vencida","A vencer"))</f>
        <v>A vencer</v>
      </c>
    </row>
    <row r="41" spans="1:9" x14ac:dyDescent="0.25">
      <c r="A41" s="6">
        <v>1038</v>
      </c>
      <c r="B41" s="7">
        <v>46134</v>
      </c>
      <c r="C41" s="6" t="s">
        <v>18</v>
      </c>
      <c r="D41" s="6" t="str">
        <f>VLOOKUP(C41,'Fornecedores'!$A$2:$D$9,2,FALSE)</f>
        <v>Alfa Papelaria</v>
      </c>
      <c r="E41" s="6" t="str">
        <f>VLOOKUP(C41,'Fornecedores'!$A$2:$D$9,3,FALSE)</f>
        <v>Administrativo</v>
      </c>
      <c r="F41" s="8">
        <v>1390</v>
      </c>
      <c r="G41" s="7">
        <f>B41+VLOOKUP(C41,'Fornecedores'!$A$2:$D$9,4,FALSE)</f>
        <v>46164</v>
      </c>
      <c r="H41" s="6" t="s">
        <v>47</v>
      </c>
      <c r="I41" s="6" t="str">
        <f>IF(H41="Paga","Paga",IF(G41&lt;'Exercícios'!$B$2,"Vencida","A vencer"))</f>
        <v>A vencer</v>
      </c>
    </row>
    <row r="42" spans="1:9" x14ac:dyDescent="0.25">
      <c r="A42" s="6">
        <v>1039</v>
      </c>
      <c r="B42" s="7">
        <v>46137</v>
      </c>
      <c r="C42" s="6" t="s">
        <v>27</v>
      </c>
      <c r="D42" s="6" t="str">
        <f>VLOOKUP(C42,'Fornecedores'!$A$2:$D$9,2,FALSE)</f>
        <v>Delta Limpeza</v>
      </c>
      <c r="E42" s="6" t="str">
        <f>VLOOKUP(C42,'Fornecedores'!$A$2:$D$9,3,FALSE)</f>
        <v>Administrativo</v>
      </c>
      <c r="F42" s="8">
        <v>720</v>
      </c>
      <c r="G42" s="7">
        <f>B42+VLOOKUP(C42,'Fornecedores'!$A$2:$D$9,4,FALSE)</f>
        <v>46167</v>
      </c>
      <c r="H42" s="6" t="s">
        <v>47</v>
      </c>
      <c r="I42" s="6" t="str">
        <f>IF(H42="Paga","Paga",IF(G42&lt;'Exercícios'!$B$2,"Vencida","A vencer"))</f>
        <v>A vencer</v>
      </c>
    </row>
    <row r="43" spans="1:9" x14ac:dyDescent="0.25">
      <c r="A43" s="6">
        <v>1040</v>
      </c>
      <c r="B43" s="7">
        <v>46140</v>
      </c>
      <c r="C43" s="6" t="s">
        <v>35</v>
      </c>
      <c r="D43" s="6" t="str">
        <f>VLOOKUP(C43,'Fornecedores'!$A$2:$D$9,2,FALSE)</f>
        <v>Ômega Software</v>
      </c>
      <c r="E43" s="6" t="str">
        <f>VLOOKUP(C43,'Fornecedores'!$A$2:$D$9,3,FALSE)</f>
        <v>TI</v>
      </c>
      <c r="F43" s="8">
        <v>5750</v>
      </c>
      <c r="G43" s="7">
        <f>B43+VLOOKUP(C43,'Fornecedores'!$A$2:$D$9,4,FALSE)</f>
        <v>46170</v>
      </c>
      <c r="H43" s="6" t="s">
        <v>47</v>
      </c>
      <c r="I43" s="6" t="str">
        <f>IF(H43="Paga","Paga",IF(G43&lt;'Exercícios'!$B$2,"Vencida","A vencer"))</f>
        <v>A vencer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Leia-me</vt:lpstr>
      <vt:lpstr>Fornecedores</vt:lpstr>
      <vt:lpstr>Notas</vt:lpstr>
      <vt:lpstr>Orçamento</vt:lpstr>
      <vt:lpstr>Exercícios</vt:lpstr>
      <vt:lpstr>Gabarito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ContaTrilha</dc:creator>
  <dc:title/>
  <dc:subject/>
  <dc:description/>
  <cp:keywords/>
  <cp:category/>
  <cp:lastModifiedBy>Unknown</cp:lastModifiedBy>
  <dcterms:created xsi:type="dcterms:W3CDTF">2026-09-25T12:02:57Z</dcterms:created>
  <dcterms:modified xsi:type="dcterms:W3CDTF">2026-09-25T12:02:57Z</dcterms:modified>
</cp:coreProperties>
</file>